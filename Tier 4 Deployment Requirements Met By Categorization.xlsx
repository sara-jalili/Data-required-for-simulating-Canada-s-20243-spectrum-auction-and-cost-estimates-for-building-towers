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sa\PycharmProjects\3800MhzBandAnalysis\"/>
    </mc:Choice>
  </mc:AlternateContent>
  <xr:revisionPtr revIDLastSave="0" documentId="13_ncr:1_{E4D29C01-16EF-4F20-A61A-A94CD682582E}" xr6:coauthVersionLast="47" xr6:coauthVersionMax="47" xr10:uidLastSave="{00000000-0000-0000-0000-000000000000}"/>
  <bookViews>
    <workbookView xWindow="-98" yWindow="-98" windowWidth="21795" windowHeight="13875" xr2:uid="{3D5B0A39-79FE-4F39-B1F5-2DDE0B03B64E}"/>
  </bookViews>
  <sheets>
    <sheet name="Results - Cost Weight" sheetId="3" r:id="rId1"/>
    <sheet name="3800 DRs" sheetId="1" r:id="rId2"/>
    <sheet name="DR Threshold Analysis" sheetId="2" r:id="rId3"/>
  </sheets>
  <definedNames>
    <definedName name="_xlnm._FilterDatabase" localSheetId="2" hidden="1">'DR Threshold Analysis'!$AO$1:$AO$176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4" i="3"/>
  <c r="H94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G124" i="3"/>
  <c r="H124" i="3"/>
  <c r="G125" i="3"/>
  <c r="H125" i="3"/>
  <c r="G126" i="3"/>
  <c r="H126" i="3"/>
  <c r="G127" i="3"/>
  <c r="H127" i="3"/>
  <c r="G128" i="3"/>
  <c r="H128" i="3"/>
  <c r="G131" i="3"/>
  <c r="H131" i="3"/>
  <c r="G132" i="3"/>
  <c r="H132" i="3"/>
  <c r="G133" i="3"/>
  <c r="H133" i="3"/>
  <c r="G134" i="3"/>
  <c r="H134" i="3"/>
  <c r="G135" i="3"/>
  <c r="H135" i="3"/>
  <c r="G136" i="3"/>
  <c r="G137" i="3"/>
  <c r="H137" i="3"/>
  <c r="G138" i="3"/>
  <c r="H138" i="3"/>
  <c r="G139" i="3"/>
  <c r="H139" i="3"/>
  <c r="G140" i="3"/>
  <c r="H140" i="3"/>
  <c r="G141" i="3"/>
  <c r="H141" i="3"/>
  <c r="G142" i="3"/>
  <c r="H142" i="3"/>
  <c r="G143" i="3"/>
  <c r="H143" i="3"/>
  <c r="G144" i="3"/>
  <c r="H144" i="3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6" i="3"/>
  <c r="H156" i="3"/>
  <c r="G157" i="3"/>
  <c r="H157" i="3"/>
  <c r="G158" i="3"/>
  <c r="H158" i="3"/>
  <c r="G159" i="3"/>
  <c r="H159" i="3"/>
  <c r="G160" i="3"/>
  <c r="H160" i="3"/>
  <c r="G161" i="3"/>
  <c r="H161" i="3"/>
  <c r="G162" i="3"/>
  <c r="H162" i="3"/>
  <c r="G163" i="3"/>
  <c r="H163" i="3"/>
  <c r="G164" i="3"/>
  <c r="H164" i="3"/>
  <c r="G165" i="3"/>
  <c r="H165" i="3"/>
  <c r="G166" i="3"/>
  <c r="H166" i="3"/>
  <c r="G167" i="3"/>
  <c r="H167" i="3"/>
  <c r="G168" i="3"/>
  <c r="H168" i="3"/>
  <c r="G169" i="3"/>
  <c r="H169" i="3"/>
  <c r="G170" i="3"/>
  <c r="H170" i="3"/>
  <c r="G171" i="3"/>
  <c r="H171" i="3"/>
  <c r="G172" i="3"/>
  <c r="H172" i="3"/>
  <c r="G173" i="3"/>
  <c r="H173" i="3"/>
  <c r="G174" i="3"/>
  <c r="H174" i="3"/>
  <c r="H3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3" i="3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3" i="2"/>
  <c r="D4" i="2"/>
  <c r="E4" i="3" s="1"/>
  <c r="D5" i="2"/>
  <c r="E5" i="3" s="1"/>
  <c r="D6" i="2"/>
  <c r="T6" i="2" s="1"/>
  <c r="AB6" i="2" s="1"/>
  <c r="D7" i="2"/>
  <c r="E7" i="3" s="1"/>
  <c r="D8" i="2"/>
  <c r="U8" i="2" s="1"/>
  <c r="D9" i="2"/>
  <c r="T9" i="2" s="1"/>
  <c r="AB9" i="2" s="1"/>
  <c r="D10" i="2"/>
  <c r="E10" i="3" s="1"/>
  <c r="D11" i="2"/>
  <c r="E11" i="3" s="1"/>
  <c r="D12" i="2"/>
  <c r="E12" i="3" s="1"/>
  <c r="D13" i="2"/>
  <c r="E13" i="3" s="1"/>
  <c r="D14" i="2"/>
  <c r="T14" i="2" s="1"/>
  <c r="AB14" i="2" s="1"/>
  <c r="D15" i="2"/>
  <c r="E15" i="3" s="1"/>
  <c r="D16" i="2"/>
  <c r="U16" i="2" s="1"/>
  <c r="D17" i="2"/>
  <c r="T17" i="2" s="1"/>
  <c r="D18" i="2"/>
  <c r="E18" i="3" s="1"/>
  <c r="D19" i="2"/>
  <c r="T19" i="2" s="1"/>
  <c r="D20" i="2"/>
  <c r="S20" i="2" s="1"/>
  <c r="D21" i="2"/>
  <c r="E21" i="3" s="1"/>
  <c r="D22" i="2"/>
  <c r="T22" i="2" s="1"/>
  <c r="AA22" i="2" s="1"/>
  <c r="D23" i="2"/>
  <c r="E23" i="3" s="1"/>
  <c r="D24" i="2"/>
  <c r="E24" i="3" s="1"/>
  <c r="D25" i="2"/>
  <c r="T25" i="2" s="1"/>
  <c r="AB25" i="2" s="1"/>
  <c r="D26" i="2"/>
  <c r="E26" i="3" s="1"/>
  <c r="D27" i="2"/>
  <c r="T27" i="2" s="1"/>
  <c r="D28" i="2"/>
  <c r="S28" i="2" s="1"/>
  <c r="W28" i="2" s="1"/>
  <c r="D29" i="2"/>
  <c r="E29" i="3" s="1"/>
  <c r="D30" i="2"/>
  <c r="T30" i="2" s="1"/>
  <c r="D31" i="2"/>
  <c r="E31" i="3" s="1"/>
  <c r="D32" i="2"/>
  <c r="E32" i="3" s="1"/>
  <c r="D33" i="2"/>
  <c r="T33" i="2" s="1"/>
  <c r="AB33" i="2" s="1"/>
  <c r="D34" i="2"/>
  <c r="E34" i="3" s="1"/>
  <c r="D35" i="2"/>
  <c r="E35" i="3" s="1"/>
  <c r="D36" i="2"/>
  <c r="E36" i="3" s="1"/>
  <c r="D37" i="2"/>
  <c r="E37" i="3" s="1"/>
  <c r="D38" i="2"/>
  <c r="T38" i="2" s="1"/>
  <c r="AB38" i="2" s="1"/>
  <c r="D39" i="2"/>
  <c r="E39" i="3" s="1"/>
  <c r="D40" i="2"/>
  <c r="U40" i="2" s="1"/>
  <c r="D41" i="2"/>
  <c r="T41" i="2" s="1"/>
  <c r="AB41" i="2" s="1"/>
  <c r="D42" i="2"/>
  <c r="E42" i="3" s="1"/>
  <c r="D43" i="2"/>
  <c r="E43" i="3" s="1"/>
  <c r="D44" i="2"/>
  <c r="E44" i="3" s="1"/>
  <c r="D45" i="2"/>
  <c r="E45" i="3" s="1"/>
  <c r="D46" i="2"/>
  <c r="T46" i="2" s="1"/>
  <c r="D47" i="2"/>
  <c r="E47" i="3" s="1"/>
  <c r="D48" i="2"/>
  <c r="U48" i="2" s="1"/>
  <c r="D49" i="2"/>
  <c r="T49" i="2" s="1"/>
  <c r="D50" i="2"/>
  <c r="E50" i="3" s="1"/>
  <c r="D51" i="2"/>
  <c r="T51" i="2" s="1"/>
  <c r="D52" i="2"/>
  <c r="S52" i="2" s="1"/>
  <c r="D53" i="2"/>
  <c r="E53" i="3" s="1"/>
  <c r="D54" i="2"/>
  <c r="T54" i="2" s="1"/>
  <c r="AB54" i="2" s="1"/>
  <c r="D55" i="2"/>
  <c r="E55" i="3" s="1"/>
  <c r="D56" i="2"/>
  <c r="E56" i="3" s="1"/>
  <c r="D57" i="2"/>
  <c r="T57" i="2" s="1"/>
  <c r="D58" i="2"/>
  <c r="E58" i="3" s="1"/>
  <c r="D59" i="2"/>
  <c r="T59" i="2" s="1"/>
  <c r="AB59" i="2" s="1"/>
  <c r="D60" i="2"/>
  <c r="S60" i="2" s="1"/>
  <c r="W60" i="2" s="1"/>
  <c r="D61" i="2"/>
  <c r="E61" i="3" s="1"/>
  <c r="D62" i="2"/>
  <c r="T62" i="2" s="1"/>
  <c r="AB62" i="2" s="1"/>
  <c r="D63" i="2"/>
  <c r="E63" i="3" s="1"/>
  <c r="D64" i="2"/>
  <c r="E64" i="3" s="1"/>
  <c r="D65" i="2"/>
  <c r="T65" i="2" s="1"/>
  <c r="AB65" i="2" s="1"/>
  <c r="D66" i="2"/>
  <c r="E66" i="3" s="1"/>
  <c r="D67" i="2"/>
  <c r="E67" i="3" s="1"/>
  <c r="D68" i="2"/>
  <c r="E68" i="3" s="1"/>
  <c r="D69" i="2"/>
  <c r="E69" i="3" s="1"/>
  <c r="D70" i="2"/>
  <c r="T70" i="2" s="1"/>
  <c r="AA70" i="2" s="1"/>
  <c r="D71" i="2"/>
  <c r="E71" i="3" s="1"/>
  <c r="D72" i="2"/>
  <c r="E72" i="3" s="1"/>
  <c r="D73" i="2"/>
  <c r="T73" i="2" s="1"/>
  <c r="AB73" i="2" s="1"/>
  <c r="D74" i="2"/>
  <c r="E74" i="3" s="1"/>
  <c r="D75" i="2"/>
  <c r="E75" i="3" s="1"/>
  <c r="D76" i="2"/>
  <c r="E76" i="3" s="1"/>
  <c r="D77" i="2"/>
  <c r="E77" i="3" s="1"/>
  <c r="D78" i="2"/>
  <c r="T78" i="2" s="1"/>
  <c r="AA78" i="2" s="1"/>
  <c r="D79" i="2"/>
  <c r="E79" i="3" s="1"/>
  <c r="D80" i="2"/>
  <c r="U80" i="2" s="1"/>
  <c r="AR80" i="2" s="1"/>
  <c r="AS80" i="2" s="1"/>
  <c r="D81" i="2"/>
  <c r="T81" i="2" s="1"/>
  <c r="D82" i="2"/>
  <c r="E82" i="3" s="1"/>
  <c r="D83" i="2"/>
  <c r="T83" i="2" s="1"/>
  <c r="AB83" i="2" s="1"/>
  <c r="D84" i="2"/>
  <c r="S84" i="2" s="1"/>
  <c r="D85" i="2"/>
  <c r="E85" i="3" s="1"/>
  <c r="D86" i="2"/>
  <c r="T86" i="2" s="1"/>
  <c r="AA86" i="2" s="1"/>
  <c r="D87" i="2"/>
  <c r="E87" i="3" s="1"/>
  <c r="D88" i="2"/>
  <c r="E88" i="3" s="1"/>
  <c r="D89" i="2"/>
  <c r="T89" i="2" s="1"/>
  <c r="D90" i="2"/>
  <c r="E90" i="3" s="1"/>
  <c r="D91" i="2"/>
  <c r="T91" i="2" s="1"/>
  <c r="D92" i="2"/>
  <c r="S92" i="2" s="1"/>
  <c r="W92" i="2" s="1"/>
  <c r="D93" i="2"/>
  <c r="E93" i="3" s="1"/>
  <c r="D94" i="2"/>
  <c r="T94" i="2" s="1"/>
  <c r="D95" i="2"/>
  <c r="E95" i="3" s="1"/>
  <c r="D96" i="2"/>
  <c r="E96" i="3" s="1"/>
  <c r="D97" i="2"/>
  <c r="T97" i="2" s="1"/>
  <c r="AB97" i="2" s="1"/>
  <c r="D98" i="2"/>
  <c r="E98" i="3" s="1"/>
  <c r="D99" i="2"/>
  <c r="E99" i="3" s="1"/>
  <c r="D100" i="2"/>
  <c r="E100" i="3" s="1"/>
  <c r="D101" i="2"/>
  <c r="E101" i="3" s="1"/>
  <c r="D102" i="2"/>
  <c r="T102" i="2" s="1"/>
  <c r="D103" i="2"/>
  <c r="E103" i="3" s="1"/>
  <c r="D104" i="2"/>
  <c r="U104" i="2" s="1"/>
  <c r="D105" i="2"/>
  <c r="T105" i="2" s="1"/>
  <c r="AB105" i="2" s="1"/>
  <c r="D106" i="2"/>
  <c r="E106" i="3" s="1"/>
  <c r="D107" i="2"/>
  <c r="E107" i="3" s="1"/>
  <c r="D108" i="2"/>
  <c r="E108" i="3" s="1"/>
  <c r="D109" i="2"/>
  <c r="E109" i="3" s="1"/>
  <c r="D110" i="2"/>
  <c r="T110" i="2" s="1"/>
  <c r="D111" i="2"/>
  <c r="E111" i="3" s="1"/>
  <c r="D112" i="2"/>
  <c r="U112" i="2" s="1"/>
  <c r="D113" i="2"/>
  <c r="T113" i="2" s="1"/>
  <c r="D114" i="2"/>
  <c r="E114" i="3" s="1"/>
  <c r="D115" i="2"/>
  <c r="T115" i="2" s="1"/>
  <c r="AB115" i="2" s="1"/>
  <c r="D116" i="2"/>
  <c r="S116" i="2" s="1"/>
  <c r="D117" i="2"/>
  <c r="S117" i="2" s="1"/>
  <c r="W117" i="2" s="1"/>
  <c r="D118" i="2"/>
  <c r="T118" i="2" s="1"/>
  <c r="AA118" i="2" s="1"/>
  <c r="D119" i="2"/>
  <c r="U119" i="2" s="1"/>
  <c r="D120" i="2"/>
  <c r="T120" i="2" s="1"/>
  <c r="AA120" i="2" s="1"/>
  <c r="D121" i="2"/>
  <c r="S121" i="2" s="1"/>
  <c r="W121" i="2" s="1"/>
  <c r="D122" i="2"/>
  <c r="S122" i="2" s="1"/>
  <c r="D123" i="2"/>
  <c r="S123" i="2" s="1"/>
  <c r="D124" i="2"/>
  <c r="S124" i="2" s="1"/>
  <c r="X124" i="2" s="1"/>
  <c r="D125" i="2"/>
  <c r="U125" i="2" s="1"/>
  <c r="D126" i="2"/>
  <c r="S126" i="2" s="1"/>
  <c r="W126" i="2" s="1"/>
  <c r="D127" i="2"/>
  <c r="S127" i="2" s="1"/>
  <c r="D128" i="2"/>
  <c r="T128" i="2" s="1"/>
  <c r="AA128" i="2" s="1"/>
  <c r="D129" i="2"/>
  <c r="S129" i="2" s="1"/>
  <c r="D130" i="2"/>
  <c r="S130" i="2" s="1"/>
  <c r="W130" i="2" s="1"/>
  <c r="D131" i="2"/>
  <c r="S131" i="2" s="1"/>
  <c r="D132" i="2"/>
  <c r="S132" i="2" s="1"/>
  <c r="D133" i="2"/>
  <c r="U133" i="2" s="1"/>
  <c r="D134" i="2"/>
  <c r="S134" i="2" s="1"/>
  <c r="D135" i="2"/>
  <c r="S135" i="2" s="1"/>
  <c r="W135" i="2" s="1"/>
  <c r="D136" i="2"/>
  <c r="T136" i="2" s="1"/>
  <c r="AA136" i="2" s="1"/>
  <c r="D137" i="2"/>
  <c r="S137" i="2" s="1"/>
  <c r="X137" i="2" s="1"/>
  <c r="D138" i="2"/>
  <c r="S138" i="2" s="1"/>
  <c r="D139" i="2"/>
  <c r="S139" i="2" s="1"/>
  <c r="W139" i="2" s="1"/>
  <c r="D140" i="2"/>
  <c r="S140" i="2" s="1"/>
  <c r="D141" i="2"/>
  <c r="U141" i="2" s="1"/>
  <c r="D142" i="2"/>
  <c r="S142" i="2" s="1"/>
  <c r="D143" i="2"/>
  <c r="U143" i="2" s="1"/>
  <c r="D144" i="2"/>
  <c r="T144" i="2" s="1"/>
  <c r="AA144" i="2" s="1"/>
  <c r="D145" i="2"/>
  <c r="S145" i="2" s="1"/>
  <c r="X145" i="2" s="1"/>
  <c r="D146" i="2"/>
  <c r="S146" i="2" s="1"/>
  <c r="D147" i="2"/>
  <c r="S147" i="2" s="1"/>
  <c r="W147" i="2" s="1"/>
  <c r="D148" i="2"/>
  <c r="S148" i="2" s="1"/>
  <c r="D149" i="2"/>
  <c r="U149" i="2" s="1"/>
  <c r="AF149" i="2" s="1"/>
  <c r="D150" i="2"/>
  <c r="S150" i="2" s="1"/>
  <c r="D151" i="2"/>
  <c r="S151" i="2" s="1"/>
  <c r="X151" i="2" s="1"/>
  <c r="D152" i="2"/>
  <c r="T152" i="2" s="1"/>
  <c r="AA152" i="2" s="1"/>
  <c r="D153" i="2"/>
  <c r="S153" i="2" s="1"/>
  <c r="D154" i="2"/>
  <c r="S154" i="2" s="1"/>
  <c r="D155" i="2"/>
  <c r="S155" i="2" s="1"/>
  <c r="W155" i="2" s="1"/>
  <c r="D156" i="2"/>
  <c r="S156" i="2" s="1"/>
  <c r="D157" i="2"/>
  <c r="U157" i="2" s="1"/>
  <c r="D158" i="2"/>
  <c r="S158" i="2" s="1"/>
  <c r="D159" i="2"/>
  <c r="U159" i="2" s="1"/>
  <c r="D160" i="2"/>
  <c r="T160" i="2" s="1"/>
  <c r="AA160" i="2" s="1"/>
  <c r="D161" i="2"/>
  <c r="S161" i="2" s="1"/>
  <c r="X161" i="2" s="1"/>
  <c r="D162" i="2"/>
  <c r="S162" i="2" s="1"/>
  <c r="D163" i="2"/>
  <c r="S163" i="2" s="1"/>
  <c r="W163" i="2" s="1"/>
  <c r="D164" i="2"/>
  <c r="S164" i="2" s="1"/>
  <c r="D165" i="2"/>
  <c r="U165" i="2" s="1"/>
  <c r="AF165" i="2" s="1"/>
  <c r="D166" i="2"/>
  <c r="S166" i="2" s="1"/>
  <c r="D167" i="2"/>
  <c r="U167" i="2" s="1"/>
  <c r="D168" i="2"/>
  <c r="T168" i="2" s="1"/>
  <c r="AA168" i="2" s="1"/>
  <c r="D169" i="2"/>
  <c r="S169" i="2" s="1"/>
  <c r="D170" i="2"/>
  <c r="S170" i="2" s="1"/>
  <c r="D171" i="2"/>
  <c r="S171" i="2" s="1"/>
  <c r="W171" i="2" s="1"/>
  <c r="D172" i="2"/>
  <c r="S172" i="2" s="1"/>
  <c r="D173" i="2"/>
  <c r="U173" i="2" s="1"/>
  <c r="AF173" i="2" s="1"/>
  <c r="D174" i="2"/>
  <c r="S174" i="2" s="1"/>
  <c r="D3" i="2"/>
  <c r="T3" i="2" s="1"/>
  <c r="AA3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3" i="2"/>
  <c r="AF157" i="2" l="1"/>
  <c r="AR157" i="2"/>
  <c r="AS157" i="2" s="1"/>
  <c r="AG133" i="2"/>
  <c r="AR133" i="2"/>
  <c r="AS133" i="2" s="1"/>
  <c r="E130" i="3"/>
  <c r="E169" i="3"/>
  <c r="E161" i="3"/>
  <c r="E153" i="3"/>
  <c r="E145" i="3"/>
  <c r="E137" i="3"/>
  <c r="E129" i="3"/>
  <c r="E121" i="3"/>
  <c r="E113" i="3"/>
  <c r="E105" i="3"/>
  <c r="E97" i="3"/>
  <c r="E89" i="3"/>
  <c r="E81" i="3"/>
  <c r="E73" i="3"/>
  <c r="E65" i="3"/>
  <c r="E57" i="3"/>
  <c r="E49" i="3"/>
  <c r="E41" i="3"/>
  <c r="E33" i="3"/>
  <c r="E25" i="3"/>
  <c r="E17" i="3"/>
  <c r="E9" i="3"/>
  <c r="E138" i="3"/>
  <c r="E168" i="3"/>
  <c r="E160" i="3"/>
  <c r="E152" i="3"/>
  <c r="E144" i="3"/>
  <c r="E136" i="3"/>
  <c r="E128" i="3"/>
  <c r="E120" i="3"/>
  <c r="E112" i="3"/>
  <c r="E104" i="3"/>
  <c r="E80" i="3"/>
  <c r="E48" i="3"/>
  <c r="E40" i="3"/>
  <c r="E16" i="3"/>
  <c r="E8" i="3"/>
  <c r="E154" i="3"/>
  <c r="E3" i="3"/>
  <c r="E167" i="3"/>
  <c r="E159" i="3"/>
  <c r="E151" i="3"/>
  <c r="E143" i="3"/>
  <c r="E135" i="3"/>
  <c r="E127" i="3"/>
  <c r="E119" i="3"/>
  <c r="E170" i="3"/>
  <c r="E174" i="3"/>
  <c r="E166" i="3"/>
  <c r="E158" i="3"/>
  <c r="E150" i="3"/>
  <c r="E142" i="3"/>
  <c r="E134" i="3"/>
  <c r="E126" i="3"/>
  <c r="E118" i="3"/>
  <c r="E110" i="3"/>
  <c r="E102" i="3"/>
  <c r="E94" i="3"/>
  <c r="E86" i="3"/>
  <c r="E78" i="3"/>
  <c r="E70" i="3"/>
  <c r="E62" i="3"/>
  <c r="E54" i="3"/>
  <c r="E46" i="3"/>
  <c r="E38" i="3"/>
  <c r="E30" i="3"/>
  <c r="E22" i="3"/>
  <c r="E14" i="3"/>
  <c r="E6" i="3"/>
  <c r="E162" i="3"/>
  <c r="E173" i="3"/>
  <c r="E165" i="3"/>
  <c r="E157" i="3"/>
  <c r="E149" i="3"/>
  <c r="E141" i="3"/>
  <c r="E133" i="3"/>
  <c r="E125" i="3"/>
  <c r="E117" i="3"/>
  <c r="E146" i="3"/>
  <c r="E122" i="3"/>
  <c r="E172" i="3"/>
  <c r="E164" i="3"/>
  <c r="E156" i="3"/>
  <c r="E148" i="3"/>
  <c r="E140" i="3"/>
  <c r="E132" i="3"/>
  <c r="E124" i="3"/>
  <c r="E116" i="3"/>
  <c r="E92" i="3"/>
  <c r="E84" i="3"/>
  <c r="E60" i="3"/>
  <c r="E52" i="3"/>
  <c r="E28" i="3"/>
  <c r="E20" i="3"/>
  <c r="E171" i="3"/>
  <c r="E163" i="3"/>
  <c r="E155" i="3"/>
  <c r="E147" i="3"/>
  <c r="E139" i="3"/>
  <c r="E131" i="3"/>
  <c r="E123" i="3"/>
  <c r="E115" i="3"/>
  <c r="E91" i="3"/>
  <c r="E83" i="3"/>
  <c r="E59" i="3"/>
  <c r="E51" i="3"/>
  <c r="E27" i="3"/>
  <c r="E19" i="3"/>
  <c r="AA110" i="2"/>
  <c r="AA62" i="2"/>
  <c r="AA19" i="2"/>
  <c r="AB22" i="2"/>
  <c r="AE149" i="2"/>
  <c r="AA102" i="2"/>
  <c r="AA59" i="2"/>
  <c r="AA14" i="2"/>
  <c r="AB78" i="2"/>
  <c r="AA94" i="2"/>
  <c r="AA54" i="2"/>
  <c r="AA6" i="2"/>
  <c r="AB70" i="2"/>
  <c r="AA91" i="2"/>
  <c r="AA46" i="2"/>
  <c r="AE173" i="2"/>
  <c r="X171" i="2"/>
  <c r="AA38" i="2"/>
  <c r="AB118" i="2"/>
  <c r="W161" i="2"/>
  <c r="AA83" i="2"/>
  <c r="AA30" i="2"/>
  <c r="AE165" i="2"/>
  <c r="W151" i="2"/>
  <c r="AA27" i="2"/>
  <c r="AA115" i="2"/>
  <c r="AE157" i="2"/>
  <c r="X28" i="2"/>
  <c r="X84" i="2"/>
  <c r="W84" i="2"/>
  <c r="AA51" i="2"/>
  <c r="W172" i="2"/>
  <c r="X172" i="2"/>
  <c r="W164" i="2"/>
  <c r="X164" i="2"/>
  <c r="W156" i="2"/>
  <c r="W148" i="2"/>
  <c r="W140" i="2"/>
  <c r="X140" i="2"/>
  <c r="W132" i="2"/>
  <c r="X132" i="2"/>
  <c r="T146" i="2"/>
  <c r="AC173" i="2"/>
  <c r="AB168" i="2"/>
  <c r="AB160" i="2"/>
  <c r="AB152" i="2"/>
  <c r="AB144" i="2"/>
  <c r="AB128" i="2"/>
  <c r="AB120" i="2"/>
  <c r="AG173" i="2"/>
  <c r="AG157" i="2"/>
  <c r="X163" i="2"/>
  <c r="W153" i="2"/>
  <c r="W131" i="2"/>
  <c r="X117" i="2"/>
  <c r="W138" i="2"/>
  <c r="W123" i="2"/>
  <c r="S141" i="2"/>
  <c r="W116" i="2"/>
  <c r="W146" i="2"/>
  <c r="X146" i="2"/>
  <c r="W122" i="2"/>
  <c r="X122" i="2"/>
  <c r="T130" i="2"/>
  <c r="AP130" i="2" s="1"/>
  <c r="AQ130" i="2" s="1"/>
  <c r="W129" i="2"/>
  <c r="S125" i="2"/>
  <c r="AF167" i="2"/>
  <c r="AF159" i="2"/>
  <c r="AE143" i="2"/>
  <c r="X60" i="2"/>
  <c r="W162" i="2"/>
  <c r="AE112" i="2"/>
  <c r="AF112" i="2"/>
  <c r="AE104" i="2"/>
  <c r="AF104" i="2"/>
  <c r="AE80" i="2"/>
  <c r="AF80" i="2"/>
  <c r="AE48" i="2"/>
  <c r="AF48" i="2"/>
  <c r="AE40" i="2"/>
  <c r="AF40" i="2"/>
  <c r="AE16" i="2"/>
  <c r="AF16" i="2"/>
  <c r="AE8" i="2"/>
  <c r="AA113" i="2"/>
  <c r="AA105" i="2"/>
  <c r="AA97" i="2"/>
  <c r="AA89" i="2"/>
  <c r="AA81" i="2"/>
  <c r="AA73" i="2"/>
  <c r="AA65" i="2"/>
  <c r="AA57" i="2"/>
  <c r="AA49" i="2"/>
  <c r="AA41" i="2"/>
  <c r="AA33" i="2"/>
  <c r="AA25" i="2"/>
  <c r="AA17" i="2"/>
  <c r="AA9" i="2"/>
  <c r="AE167" i="2"/>
  <c r="AE159" i="2"/>
  <c r="AF119" i="2"/>
  <c r="W169" i="2"/>
  <c r="X147" i="2"/>
  <c r="W137" i="2"/>
  <c r="W154" i="2"/>
  <c r="W127" i="2"/>
  <c r="S173" i="2"/>
  <c r="AE119" i="2"/>
  <c r="X135" i="2"/>
  <c r="W124" i="2"/>
  <c r="W174" i="2"/>
  <c r="X174" i="2"/>
  <c r="W166" i="2"/>
  <c r="X166" i="2"/>
  <c r="W158" i="2"/>
  <c r="W150" i="2"/>
  <c r="W142" i="2"/>
  <c r="X142" i="2"/>
  <c r="W134" i="2"/>
  <c r="T162" i="2"/>
  <c r="W145" i="2"/>
  <c r="X121" i="2"/>
  <c r="W20" i="2"/>
  <c r="W170" i="2"/>
  <c r="X170" i="2"/>
  <c r="AE141" i="2"/>
  <c r="AF141" i="2"/>
  <c r="AE133" i="2"/>
  <c r="AF133" i="2"/>
  <c r="AE125" i="2"/>
  <c r="AF125" i="2"/>
  <c r="S157" i="2"/>
  <c r="W52" i="2"/>
  <c r="U94" i="2"/>
  <c r="AR94" i="2" s="1"/>
  <c r="AS94" i="2" s="1"/>
  <c r="T173" i="2"/>
  <c r="T157" i="2"/>
  <c r="T141" i="2"/>
  <c r="T125" i="2"/>
  <c r="S94" i="2"/>
  <c r="U170" i="2"/>
  <c r="U154" i="2"/>
  <c r="U138" i="2"/>
  <c r="U122" i="2"/>
  <c r="S30" i="2"/>
  <c r="U30" i="2"/>
  <c r="AR30" i="2" s="1"/>
  <c r="AS30" i="2" s="1"/>
  <c r="T170" i="2"/>
  <c r="T154" i="2"/>
  <c r="T138" i="2"/>
  <c r="T122" i="2"/>
  <c r="T165" i="2"/>
  <c r="T149" i="2"/>
  <c r="T133" i="2"/>
  <c r="U62" i="2"/>
  <c r="S165" i="2"/>
  <c r="S149" i="2"/>
  <c r="S133" i="2"/>
  <c r="S62" i="2"/>
  <c r="U162" i="2"/>
  <c r="U146" i="2"/>
  <c r="U130" i="2"/>
  <c r="AR130" i="2" s="1"/>
  <c r="AS130" i="2" s="1"/>
  <c r="S88" i="2"/>
  <c r="T88" i="2"/>
  <c r="S56" i="2"/>
  <c r="T56" i="2"/>
  <c r="S24" i="2"/>
  <c r="T24" i="2"/>
  <c r="S144" i="2"/>
  <c r="S120" i="2"/>
  <c r="S103" i="2"/>
  <c r="T103" i="2"/>
  <c r="U103" i="2"/>
  <c r="U3" i="2"/>
  <c r="U172" i="2"/>
  <c r="T167" i="2"/>
  <c r="U164" i="2"/>
  <c r="T159" i="2"/>
  <c r="U156" i="2"/>
  <c r="T151" i="2"/>
  <c r="U148" i="2"/>
  <c r="T143" i="2"/>
  <c r="U140" i="2"/>
  <c r="T135" i="2"/>
  <c r="U132" i="2"/>
  <c r="T127" i="2"/>
  <c r="U124" i="2"/>
  <c r="T119" i="2"/>
  <c r="U102" i="2"/>
  <c r="AR102" i="2" s="1"/>
  <c r="AS102" i="2" s="1"/>
  <c r="U70" i="2"/>
  <c r="U38" i="2"/>
  <c r="U6" i="2"/>
  <c r="S72" i="2"/>
  <c r="T72" i="2"/>
  <c r="S40" i="2"/>
  <c r="T40" i="2"/>
  <c r="S168" i="2"/>
  <c r="S136" i="2"/>
  <c r="S128" i="2"/>
  <c r="S95" i="2"/>
  <c r="T95" i="2"/>
  <c r="AP95" i="2" s="1"/>
  <c r="AQ95" i="2" s="1"/>
  <c r="U95" i="2"/>
  <c r="AR95" i="2" s="1"/>
  <c r="AS95" i="2" s="1"/>
  <c r="S71" i="2"/>
  <c r="T71" i="2"/>
  <c r="U71" i="2"/>
  <c r="S47" i="2"/>
  <c r="T47" i="2"/>
  <c r="U47" i="2"/>
  <c r="S23" i="2"/>
  <c r="T23" i="2"/>
  <c r="U23" i="2"/>
  <c r="S3" i="2"/>
  <c r="U151" i="2"/>
  <c r="U135" i="2"/>
  <c r="U127" i="2"/>
  <c r="S109" i="2"/>
  <c r="T109" i="2"/>
  <c r="U109" i="2"/>
  <c r="S101" i="2"/>
  <c r="T101" i="2"/>
  <c r="U101" i="2"/>
  <c r="S93" i="2"/>
  <c r="T93" i="2"/>
  <c r="AP93" i="2" s="1"/>
  <c r="AQ93" i="2" s="1"/>
  <c r="U93" i="2"/>
  <c r="AR93" i="2" s="1"/>
  <c r="AS93" i="2" s="1"/>
  <c r="S85" i="2"/>
  <c r="T85" i="2"/>
  <c r="U85" i="2"/>
  <c r="S77" i="2"/>
  <c r="T77" i="2"/>
  <c r="U77" i="2"/>
  <c r="S69" i="2"/>
  <c r="T69" i="2"/>
  <c r="U69" i="2"/>
  <c r="S61" i="2"/>
  <c r="T61" i="2"/>
  <c r="U61" i="2"/>
  <c r="S53" i="2"/>
  <c r="T53" i="2"/>
  <c r="U53" i="2"/>
  <c r="S45" i="2"/>
  <c r="T45" i="2"/>
  <c r="U45" i="2"/>
  <c r="S37" i="2"/>
  <c r="T37" i="2"/>
  <c r="U37" i="2"/>
  <c r="S29" i="2"/>
  <c r="T29" i="2"/>
  <c r="U29" i="2"/>
  <c r="S21" i="2"/>
  <c r="T21" i="2"/>
  <c r="U21" i="2"/>
  <c r="S13" i="2"/>
  <c r="T13" i="2"/>
  <c r="U13" i="2"/>
  <c r="S5" i="2"/>
  <c r="T5" i="2"/>
  <c r="U5" i="2"/>
  <c r="T172" i="2"/>
  <c r="U169" i="2"/>
  <c r="S167" i="2"/>
  <c r="T164" i="2"/>
  <c r="U161" i="2"/>
  <c r="S159" i="2"/>
  <c r="T156" i="2"/>
  <c r="U153" i="2"/>
  <c r="T148" i="2"/>
  <c r="U145" i="2"/>
  <c r="S143" i="2"/>
  <c r="T140" i="2"/>
  <c r="U137" i="2"/>
  <c r="T132" i="2"/>
  <c r="U129" i="2"/>
  <c r="AR129" i="2" s="1"/>
  <c r="AS129" i="2" s="1"/>
  <c r="T124" i="2"/>
  <c r="U121" i="2"/>
  <c r="S119" i="2"/>
  <c r="S102" i="2"/>
  <c r="S70" i="2"/>
  <c r="S38" i="2"/>
  <c r="S6" i="2"/>
  <c r="S87" i="2"/>
  <c r="T87" i="2"/>
  <c r="U87" i="2"/>
  <c r="S63" i="2"/>
  <c r="T63" i="2"/>
  <c r="U63" i="2"/>
  <c r="S39" i="2"/>
  <c r="T39" i="2"/>
  <c r="U39" i="2"/>
  <c r="S15" i="2"/>
  <c r="T15" i="2"/>
  <c r="U15" i="2"/>
  <c r="T116" i="2"/>
  <c r="U116" i="2"/>
  <c r="AR116" i="2" s="1"/>
  <c r="AS116" i="2" s="1"/>
  <c r="T108" i="2"/>
  <c r="U108" i="2"/>
  <c r="T100" i="2"/>
  <c r="U100" i="2"/>
  <c r="T92" i="2"/>
  <c r="U92" i="2"/>
  <c r="T84" i="2"/>
  <c r="U84" i="2"/>
  <c r="T76" i="2"/>
  <c r="U76" i="2"/>
  <c r="AR76" i="2" s="1"/>
  <c r="AS76" i="2" s="1"/>
  <c r="T68" i="2"/>
  <c r="U68" i="2"/>
  <c r="T60" i="2"/>
  <c r="U60" i="2"/>
  <c r="T52" i="2"/>
  <c r="U52" i="2"/>
  <c r="T44" i="2"/>
  <c r="U44" i="2"/>
  <c r="AR44" i="2" s="1"/>
  <c r="AS44" i="2" s="1"/>
  <c r="T36" i="2"/>
  <c r="U36" i="2"/>
  <c r="T28" i="2"/>
  <c r="U28" i="2"/>
  <c r="T20" i="2"/>
  <c r="U20" i="2"/>
  <c r="T12" i="2"/>
  <c r="U12" i="2"/>
  <c r="T4" i="2"/>
  <c r="U4" i="2"/>
  <c r="U174" i="2"/>
  <c r="T169" i="2"/>
  <c r="U166" i="2"/>
  <c r="T161" i="2"/>
  <c r="U158" i="2"/>
  <c r="T153" i="2"/>
  <c r="U150" i="2"/>
  <c r="T145" i="2"/>
  <c r="U142" i="2"/>
  <c r="T137" i="2"/>
  <c r="U134" i="2"/>
  <c r="T129" i="2"/>
  <c r="AP129" i="2" s="1"/>
  <c r="AQ129" i="2" s="1"/>
  <c r="U126" i="2"/>
  <c r="T121" i="2"/>
  <c r="U118" i="2"/>
  <c r="U110" i="2"/>
  <c r="S100" i="2"/>
  <c r="U78" i="2"/>
  <c r="S68" i="2"/>
  <c r="U46" i="2"/>
  <c r="S36" i="2"/>
  <c r="U14" i="2"/>
  <c r="S4" i="2"/>
  <c r="S104" i="2"/>
  <c r="T104" i="2"/>
  <c r="S64" i="2"/>
  <c r="T64" i="2"/>
  <c r="S32" i="2"/>
  <c r="T32" i="2"/>
  <c r="S152" i="2"/>
  <c r="S115" i="2"/>
  <c r="U115" i="2"/>
  <c r="S107" i="2"/>
  <c r="U107" i="2"/>
  <c r="S99" i="2"/>
  <c r="U99" i="2"/>
  <c r="AR99" i="2" s="1"/>
  <c r="AS99" i="2" s="1"/>
  <c r="S91" i="2"/>
  <c r="U91" i="2"/>
  <c r="AR91" i="2" s="1"/>
  <c r="AS91" i="2" s="1"/>
  <c r="S83" i="2"/>
  <c r="U83" i="2"/>
  <c r="S75" i="2"/>
  <c r="U75" i="2"/>
  <c r="S67" i="2"/>
  <c r="U67" i="2"/>
  <c r="S59" i="2"/>
  <c r="U59" i="2"/>
  <c r="S51" i="2"/>
  <c r="U51" i="2"/>
  <c r="S43" i="2"/>
  <c r="U43" i="2"/>
  <c r="S35" i="2"/>
  <c r="U35" i="2"/>
  <c r="S27" i="2"/>
  <c r="U27" i="2"/>
  <c r="S19" i="2"/>
  <c r="U19" i="2"/>
  <c r="S11" i="2"/>
  <c r="U11" i="2"/>
  <c r="T174" i="2"/>
  <c r="U171" i="2"/>
  <c r="T166" i="2"/>
  <c r="U163" i="2"/>
  <c r="T158" i="2"/>
  <c r="U155" i="2"/>
  <c r="AR155" i="2" s="1"/>
  <c r="AS155" i="2" s="1"/>
  <c r="T150" i="2"/>
  <c r="U147" i="2"/>
  <c r="T142" i="2"/>
  <c r="U139" i="2"/>
  <c r="AR139" i="2" s="1"/>
  <c r="AS139" i="2" s="1"/>
  <c r="T134" i="2"/>
  <c r="U131" i="2"/>
  <c r="T126" i="2"/>
  <c r="U123" i="2"/>
  <c r="S118" i="2"/>
  <c r="S110" i="2"/>
  <c r="T99" i="2"/>
  <c r="U88" i="2"/>
  <c r="S78" i="2"/>
  <c r="T67" i="2"/>
  <c r="U56" i="2"/>
  <c r="S46" i="2"/>
  <c r="T35" i="2"/>
  <c r="U24" i="2"/>
  <c r="S14" i="2"/>
  <c r="S112" i="2"/>
  <c r="T112" i="2"/>
  <c r="S80" i="2"/>
  <c r="T80" i="2"/>
  <c r="AP80" i="2" s="1"/>
  <c r="AQ80" i="2" s="1"/>
  <c r="S48" i="2"/>
  <c r="T48" i="2"/>
  <c r="S16" i="2"/>
  <c r="T16" i="2"/>
  <c r="S160" i="2"/>
  <c r="S79" i="2"/>
  <c r="T79" i="2"/>
  <c r="U79" i="2"/>
  <c r="S55" i="2"/>
  <c r="T55" i="2"/>
  <c r="U55" i="2"/>
  <c r="S31" i="2"/>
  <c r="T31" i="2"/>
  <c r="U31" i="2"/>
  <c r="S7" i="2"/>
  <c r="T7" i="2"/>
  <c r="U7" i="2"/>
  <c r="U72" i="2"/>
  <c r="S114" i="2"/>
  <c r="T114" i="2"/>
  <c r="U114" i="2"/>
  <c r="S106" i="2"/>
  <c r="T106" i="2"/>
  <c r="U106" i="2"/>
  <c r="S98" i="2"/>
  <c r="T98" i="2"/>
  <c r="U98" i="2"/>
  <c r="S90" i="2"/>
  <c r="T90" i="2"/>
  <c r="U90" i="2"/>
  <c r="S82" i="2"/>
  <c r="T82" i="2"/>
  <c r="U82" i="2"/>
  <c r="S74" i="2"/>
  <c r="T74" i="2"/>
  <c r="U74" i="2"/>
  <c r="S66" i="2"/>
  <c r="T66" i="2"/>
  <c r="U66" i="2"/>
  <c r="S58" i="2"/>
  <c r="T58" i="2"/>
  <c r="U58" i="2"/>
  <c r="S50" i="2"/>
  <c r="T50" i="2"/>
  <c r="U50" i="2"/>
  <c r="S42" i="2"/>
  <c r="T42" i="2"/>
  <c r="U42" i="2"/>
  <c r="S34" i="2"/>
  <c r="T34" i="2"/>
  <c r="U34" i="2"/>
  <c r="S26" i="2"/>
  <c r="T26" i="2"/>
  <c r="U26" i="2"/>
  <c r="S18" i="2"/>
  <c r="T18" i="2"/>
  <c r="U18" i="2"/>
  <c r="S10" i="2"/>
  <c r="T10" i="2"/>
  <c r="U10" i="2"/>
  <c r="T171" i="2"/>
  <c r="U168" i="2"/>
  <c r="T163" i="2"/>
  <c r="U160" i="2"/>
  <c r="T155" i="2"/>
  <c r="AP155" i="2" s="1"/>
  <c r="AQ155" i="2" s="1"/>
  <c r="U152" i="2"/>
  <c r="T147" i="2"/>
  <c r="U144" i="2"/>
  <c r="T139" i="2"/>
  <c r="U136" i="2"/>
  <c r="T131" i="2"/>
  <c r="U128" i="2"/>
  <c r="T123" i="2"/>
  <c r="U120" i="2"/>
  <c r="U117" i="2"/>
  <c r="S108" i="2"/>
  <c r="U86" i="2"/>
  <c r="S76" i="2"/>
  <c r="U54" i="2"/>
  <c r="S44" i="2"/>
  <c r="U22" i="2"/>
  <c r="S12" i="2"/>
  <c r="S96" i="2"/>
  <c r="T96" i="2"/>
  <c r="S8" i="2"/>
  <c r="T8" i="2"/>
  <c r="S111" i="2"/>
  <c r="T111" i="2"/>
  <c r="U111" i="2"/>
  <c r="U113" i="2"/>
  <c r="S113" i="2"/>
  <c r="U105" i="2"/>
  <c r="S105" i="2"/>
  <c r="U97" i="2"/>
  <c r="S97" i="2"/>
  <c r="U89" i="2"/>
  <c r="S89" i="2"/>
  <c r="U81" i="2"/>
  <c r="S81" i="2"/>
  <c r="U73" i="2"/>
  <c r="S73" i="2"/>
  <c r="U65" i="2"/>
  <c r="S65" i="2"/>
  <c r="U57" i="2"/>
  <c r="S57" i="2"/>
  <c r="U49" i="2"/>
  <c r="S49" i="2"/>
  <c r="U41" i="2"/>
  <c r="S41" i="2"/>
  <c r="U33" i="2"/>
  <c r="S33" i="2"/>
  <c r="U25" i="2"/>
  <c r="S25" i="2"/>
  <c r="U17" i="2"/>
  <c r="S17" i="2"/>
  <c r="U9" i="2"/>
  <c r="S9" i="2"/>
  <c r="T117" i="2"/>
  <c r="T107" i="2"/>
  <c r="U96" i="2"/>
  <c r="S86" i="2"/>
  <c r="T75" i="2"/>
  <c r="U64" i="2"/>
  <c r="S54" i="2"/>
  <c r="T43" i="2"/>
  <c r="U32" i="2"/>
  <c r="S22" i="2"/>
  <c r="T11" i="2"/>
  <c r="AR19" i="2" l="1"/>
  <c r="AS19" i="2" s="1"/>
  <c r="AF41" i="2"/>
  <c r="AE41" i="2"/>
  <c r="AB114" i="2"/>
  <c r="AA114" i="2"/>
  <c r="W67" i="2"/>
  <c r="X67" i="2"/>
  <c r="AA52" i="2"/>
  <c r="W13" i="2"/>
  <c r="X13" i="2"/>
  <c r="AA151" i="2"/>
  <c r="AB151" i="2"/>
  <c r="AE64" i="2"/>
  <c r="AF64" i="2"/>
  <c r="W49" i="2"/>
  <c r="W113" i="2"/>
  <c r="W96" i="2"/>
  <c r="AE117" i="2"/>
  <c r="AF117" i="2"/>
  <c r="AB147" i="2"/>
  <c r="AA147" i="2"/>
  <c r="AB10" i="2"/>
  <c r="AA10" i="2"/>
  <c r="AF34" i="2"/>
  <c r="AE34" i="2"/>
  <c r="W50" i="2"/>
  <c r="AA74" i="2"/>
  <c r="AF98" i="2"/>
  <c r="AE98" i="2"/>
  <c r="W114" i="2"/>
  <c r="X114" i="2"/>
  <c r="AE55" i="2"/>
  <c r="AF55" i="2"/>
  <c r="X16" i="2"/>
  <c r="W16" i="2"/>
  <c r="AE24" i="2"/>
  <c r="AF24" i="2"/>
  <c r="W110" i="2"/>
  <c r="AF147" i="2"/>
  <c r="AE147" i="2"/>
  <c r="AE11" i="2"/>
  <c r="AF11" i="2"/>
  <c r="AE43" i="2"/>
  <c r="AF43" i="2"/>
  <c r="AE75" i="2"/>
  <c r="AF75" i="2"/>
  <c r="AE107" i="2"/>
  <c r="AF107" i="2"/>
  <c r="W64" i="2"/>
  <c r="X64" i="2"/>
  <c r="AE78" i="2"/>
  <c r="AF78" i="2"/>
  <c r="AB137" i="2"/>
  <c r="AA137" i="2"/>
  <c r="AA169" i="2"/>
  <c r="AE28" i="2"/>
  <c r="AF28" i="2"/>
  <c r="AE60" i="2"/>
  <c r="AF60" i="2"/>
  <c r="AE92" i="2"/>
  <c r="AE15" i="2"/>
  <c r="AF15" i="2"/>
  <c r="W63" i="2"/>
  <c r="X63" i="2"/>
  <c r="W119" i="2"/>
  <c r="X119" i="2"/>
  <c r="AE145" i="2"/>
  <c r="AF145" i="2"/>
  <c r="AE169" i="2"/>
  <c r="AE21" i="2"/>
  <c r="AF21" i="2"/>
  <c r="W37" i="2"/>
  <c r="AB61" i="2"/>
  <c r="AA61" i="2"/>
  <c r="AE85" i="2"/>
  <c r="AF85" i="2"/>
  <c r="W101" i="2"/>
  <c r="X101" i="2"/>
  <c r="AE23" i="2"/>
  <c r="AF23" i="2"/>
  <c r="W71" i="2"/>
  <c r="X71" i="2"/>
  <c r="W40" i="2"/>
  <c r="X40" i="2"/>
  <c r="AE124" i="2"/>
  <c r="AF124" i="2"/>
  <c r="AE156" i="2"/>
  <c r="W103" i="2"/>
  <c r="X103" i="2"/>
  <c r="W88" i="2"/>
  <c r="AE62" i="2"/>
  <c r="AF62" i="2"/>
  <c r="AG30" i="2"/>
  <c r="AE30" i="2"/>
  <c r="AF30" i="2"/>
  <c r="AB141" i="2"/>
  <c r="AA141" i="2"/>
  <c r="AF9" i="2"/>
  <c r="AE9" i="2"/>
  <c r="W108" i="2"/>
  <c r="AA50" i="2"/>
  <c r="AA16" i="2"/>
  <c r="AB16" i="2"/>
  <c r="AA174" i="2"/>
  <c r="AB174" i="2"/>
  <c r="AE134" i="2"/>
  <c r="AA63" i="2"/>
  <c r="AB63" i="2"/>
  <c r="W167" i="2"/>
  <c r="X167" i="2"/>
  <c r="AB101" i="2"/>
  <c r="AA101" i="2"/>
  <c r="AA103" i="2"/>
  <c r="AB103" i="2"/>
  <c r="W17" i="2"/>
  <c r="W81" i="2"/>
  <c r="AA75" i="2"/>
  <c r="AB75" i="2"/>
  <c r="AE17" i="2"/>
  <c r="AE49" i="2"/>
  <c r="AE81" i="2"/>
  <c r="AE113" i="2"/>
  <c r="W12" i="2"/>
  <c r="AE120" i="2"/>
  <c r="AF120" i="2"/>
  <c r="AC120" i="2"/>
  <c r="AG120" i="2"/>
  <c r="AE152" i="2"/>
  <c r="AF152" i="2"/>
  <c r="W10" i="2"/>
  <c r="X10" i="2"/>
  <c r="AB34" i="2"/>
  <c r="AA34" i="2"/>
  <c r="AF58" i="2"/>
  <c r="AE58" i="2"/>
  <c r="W74" i="2"/>
  <c r="AB98" i="2"/>
  <c r="AA98" i="2"/>
  <c r="AE72" i="2"/>
  <c r="AA55" i="2"/>
  <c r="AB55" i="2"/>
  <c r="AA48" i="2"/>
  <c r="AB48" i="2"/>
  <c r="AB35" i="2"/>
  <c r="AA35" i="2"/>
  <c r="W118" i="2"/>
  <c r="X118" i="2"/>
  <c r="AA150" i="2"/>
  <c r="W11" i="2"/>
  <c r="X11" i="2"/>
  <c r="W43" i="2"/>
  <c r="X43" i="2"/>
  <c r="W75" i="2"/>
  <c r="X75" i="2"/>
  <c r="W107" i="2"/>
  <c r="X107" i="2"/>
  <c r="AA104" i="2"/>
  <c r="AB104" i="2"/>
  <c r="W100" i="2"/>
  <c r="X100" i="2"/>
  <c r="AE142" i="2"/>
  <c r="AF142" i="2"/>
  <c r="AE174" i="2"/>
  <c r="AC174" i="2"/>
  <c r="AF174" i="2"/>
  <c r="AG174" i="2"/>
  <c r="AB28" i="2"/>
  <c r="AA28" i="2"/>
  <c r="AB60" i="2"/>
  <c r="AA60" i="2"/>
  <c r="AA92" i="2"/>
  <c r="AA15" i="2"/>
  <c r="AB15" i="2"/>
  <c r="AE87" i="2"/>
  <c r="AF87" i="2"/>
  <c r="AE121" i="2"/>
  <c r="AF121" i="2"/>
  <c r="AA148" i="2"/>
  <c r="AB172" i="2"/>
  <c r="AA172" i="2"/>
  <c r="AB21" i="2"/>
  <c r="AA21" i="2"/>
  <c r="AE45" i="2"/>
  <c r="AF45" i="2"/>
  <c r="W61" i="2"/>
  <c r="X61" i="2"/>
  <c r="AB85" i="2"/>
  <c r="AA85" i="2"/>
  <c r="AE109" i="2"/>
  <c r="AF109" i="2"/>
  <c r="AG109" i="2"/>
  <c r="AC109" i="2"/>
  <c r="AA23" i="2"/>
  <c r="AB23" i="2"/>
  <c r="AE95" i="2"/>
  <c r="AF95" i="2"/>
  <c r="AA72" i="2"/>
  <c r="AA127" i="2"/>
  <c r="AA159" i="2"/>
  <c r="AB159" i="2"/>
  <c r="W120" i="2"/>
  <c r="X120" i="2"/>
  <c r="AF130" i="2"/>
  <c r="AE130" i="2"/>
  <c r="AA133" i="2"/>
  <c r="W30" i="2"/>
  <c r="AA157" i="2"/>
  <c r="AE144" i="2"/>
  <c r="AF144" i="2"/>
  <c r="W14" i="2"/>
  <c r="X14" i="2"/>
  <c r="W68" i="2"/>
  <c r="X68" i="2"/>
  <c r="W143" i="2"/>
  <c r="AA40" i="2"/>
  <c r="AB40" i="2"/>
  <c r="AB170" i="2"/>
  <c r="AA170" i="2"/>
  <c r="W57" i="2"/>
  <c r="AA123" i="2"/>
  <c r="AB155" i="2"/>
  <c r="AA155" i="2"/>
  <c r="AF18" i="2"/>
  <c r="AE18" i="2"/>
  <c r="W34" i="2"/>
  <c r="X34" i="2"/>
  <c r="AB58" i="2"/>
  <c r="AA58" i="2"/>
  <c r="AF82" i="2"/>
  <c r="AE82" i="2"/>
  <c r="W98" i="2"/>
  <c r="X98" i="2"/>
  <c r="AG7" i="2"/>
  <c r="AE7" i="2"/>
  <c r="AC7" i="2"/>
  <c r="AF7" i="2"/>
  <c r="W55" i="2"/>
  <c r="X55" i="2"/>
  <c r="X48" i="2"/>
  <c r="W48" i="2"/>
  <c r="W46" i="2"/>
  <c r="AE123" i="2"/>
  <c r="AF155" i="2"/>
  <c r="AE155" i="2"/>
  <c r="AE19" i="2"/>
  <c r="AF19" i="2"/>
  <c r="AG19" i="2"/>
  <c r="AE51" i="2"/>
  <c r="AE83" i="2"/>
  <c r="AF83" i="2"/>
  <c r="AE115" i="2"/>
  <c r="AF115" i="2"/>
  <c r="W104" i="2"/>
  <c r="X104" i="2"/>
  <c r="AE110" i="2"/>
  <c r="AB145" i="2"/>
  <c r="AA145" i="2"/>
  <c r="AE4" i="2"/>
  <c r="AF4" i="2"/>
  <c r="AE36" i="2"/>
  <c r="AF36" i="2"/>
  <c r="AE68" i="2"/>
  <c r="AF68" i="2"/>
  <c r="AG68" i="2"/>
  <c r="AC68" i="2"/>
  <c r="AE100" i="2"/>
  <c r="AF100" i="2"/>
  <c r="W15" i="2"/>
  <c r="X15" i="2"/>
  <c r="AA87" i="2"/>
  <c r="AB87" i="2"/>
  <c r="AB124" i="2"/>
  <c r="AA124" i="2"/>
  <c r="AE153" i="2"/>
  <c r="AE5" i="2"/>
  <c r="AF5" i="2"/>
  <c r="W21" i="2"/>
  <c r="X21" i="2"/>
  <c r="AB45" i="2"/>
  <c r="AA45" i="2"/>
  <c r="AE69" i="2"/>
  <c r="W85" i="2"/>
  <c r="X85" i="2"/>
  <c r="AB109" i="2"/>
  <c r="AA109" i="2"/>
  <c r="W23" i="2"/>
  <c r="X23" i="2"/>
  <c r="AA95" i="2"/>
  <c r="AB95" i="2"/>
  <c r="W72" i="2"/>
  <c r="AE132" i="2"/>
  <c r="AF132" i="2"/>
  <c r="AG132" i="2"/>
  <c r="AC132" i="2"/>
  <c r="AE164" i="2"/>
  <c r="AF164" i="2"/>
  <c r="W144" i="2"/>
  <c r="X144" i="2"/>
  <c r="AE146" i="2"/>
  <c r="AF146" i="2"/>
  <c r="AB149" i="2"/>
  <c r="AA149" i="2"/>
  <c r="AF122" i="2"/>
  <c r="AE122" i="2"/>
  <c r="AB173" i="2"/>
  <c r="AA173" i="2"/>
  <c r="X173" i="2"/>
  <c r="W173" i="2"/>
  <c r="AB146" i="2"/>
  <c r="AA146" i="2"/>
  <c r="AA96" i="2"/>
  <c r="W31" i="2"/>
  <c r="X31" i="2"/>
  <c r="AA64" i="2"/>
  <c r="AB64" i="2"/>
  <c r="AA116" i="2"/>
  <c r="AA37" i="2"/>
  <c r="AA71" i="2"/>
  <c r="AB71" i="2"/>
  <c r="AA88" i="2"/>
  <c r="AB125" i="2"/>
  <c r="AA125" i="2"/>
  <c r="W25" i="2"/>
  <c r="X25" i="2"/>
  <c r="AB11" i="2"/>
  <c r="AA11" i="2"/>
  <c r="AE89" i="2"/>
  <c r="W44" i="2"/>
  <c r="AE160" i="2"/>
  <c r="AF160" i="2"/>
  <c r="AB18" i="2"/>
  <c r="AA18" i="2"/>
  <c r="W58" i="2"/>
  <c r="X58" i="2"/>
  <c r="AB82" i="2"/>
  <c r="AA82" i="2"/>
  <c r="AF106" i="2"/>
  <c r="AG106" i="2"/>
  <c r="AE106" i="2"/>
  <c r="AC106" i="2"/>
  <c r="AA7" i="2"/>
  <c r="AB7" i="2"/>
  <c r="AE79" i="2"/>
  <c r="AE56" i="2"/>
  <c r="AF56" i="2"/>
  <c r="AA126" i="2"/>
  <c r="AA158" i="2"/>
  <c r="W19" i="2"/>
  <c r="W51" i="2"/>
  <c r="W83" i="2"/>
  <c r="X83" i="2"/>
  <c r="W115" i="2"/>
  <c r="X115" i="2"/>
  <c r="W4" i="2"/>
  <c r="X4" i="2"/>
  <c r="AE118" i="2"/>
  <c r="AF118" i="2"/>
  <c r="AE150" i="2"/>
  <c r="AB4" i="2"/>
  <c r="AA4" i="2"/>
  <c r="AB36" i="2"/>
  <c r="AA36" i="2"/>
  <c r="AB68" i="2"/>
  <c r="AA68" i="2"/>
  <c r="AB100" i="2"/>
  <c r="AA100" i="2"/>
  <c r="AE39" i="2"/>
  <c r="W87" i="2"/>
  <c r="X87" i="2"/>
  <c r="AF129" i="2"/>
  <c r="AE129" i="2"/>
  <c r="AA156" i="2"/>
  <c r="AB5" i="2"/>
  <c r="AA5" i="2"/>
  <c r="AE29" i="2"/>
  <c r="AF29" i="2"/>
  <c r="X45" i="2"/>
  <c r="W45" i="2"/>
  <c r="AA69" i="2"/>
  <c r="AE93" i="2"/>
  <c r="AF93" i="2"/>
  <c r="X109" i="2"/>
  <c r="W109" i="2"/>
  <c r="AE47" i="2"/>
  <c r="AF47" i="2"/>
  <c r="W95" i="2"/>
  <c r="AE6" i="2"/>
  <c r="AF6" i="2"/>
  <c r="AA135" i="2"/>
  <c r="AB135" i="2"/>
  <c r="AA167" i="2"/>
  <c r="AB167" i="2"/>
  <c r="AA24" i="2"/>
  <c r="AB24" i="2"/>
  <c r="AE162" i="2"/>
  <c r="AB165" i="2"/>
  <c r="AA165" i="2"/>
  <c r="AE138" i="2"/>
  <c r="AG94" i="2"/>
  <c r="AE94" i="2"/>
  <c r="AF94" i="2"/>
  <c r="W125" i="2"/>
  <c r="X125" i="2"/>
  <c r="W54" i="2"/>
  <c r="X54" i="2"/>
  <c r="W26" i="2"/>
  <c r="X26" i="2"/>
  <c r="AA142" i="2"/>
  <c r="AB142" i="2"/>
  <c r="AE166" i="2"/>
  <c r="AF166" i="2"/>
  <c r="W3" i="2"/>
  <c r="AE22" i="2"/>
  <c r="AF22" i="2"/>
  <c r="AF25" i="2"/>
  <c r="AE25" i="2"/>
  <c r="AA111" i="2"/>
  <c r="AB111" i="2"/>
  <c r="AE128" i="2"/>
  <c r="AF128" i="2"/>
  <c r="AE42" i="2"/>
  <c r="AA80" i="2"/>
  <c r="AB80" i="2"/>
  <c r="W22" i="2"/>
  <c r="X22" i="2"/>
  <c r="AB107" i="2"/>
  <c r="AA107" i="2"/>
  <c r="W33" i="2"/>
  <c r="X33" i="2"/>
  <c r="W65" i="2"/>
  <c r="X65" i="2"/>
  <c r="W97" i="2"/>
  <c r="X97" i="2"/>
  <c r="W111" i="2"/>
  <c r="X111" i="2"/>
  <c r="AE54" i="2"/>
  <c r="AF54" i="2"/>
  <c r="AA131" i="2"/>
  <c r="AA163" i="2"/>
  <c r="AB163" i="2"/>
  <c r="W18" i="2"/>
  <c r="X18" i="2"/>
  <c r="AA42" i="2"/>
  <c r="AF66" i="2"/>
  <c r="AE66" i="2"/>
  <c r="W82" i="2"/>
  <c r="X82" i="2"/>
  <c r="AB106" i="2"/>
  <c r="AA106" i="2"/>
  <c r="W7" i="2"/>
  <c r="X7" i="2"/>
  <c r="AA79" i="2"/>
  <c r="W80" i="2"/>
  <c r="AB67" i="2"/>
  <c r="AA67" i="2"/>
  <c r="AE131" i="2"/>
  <c r="AF163" i="2"/>
  <c r="AE163" i="2"/>
  <c r="AE27" i="2"/>
  <c r="AE59" i="2"/>
  <c r="AF59" i="2"/>
  <c r="AE91" i="2"/>
  <c r="AF91" i="2"/>
  <c r="AG91" i="2"/>
  <c r="W152" i="2"/>
  <c r="X152" i="2"/>
  <c r="AE14" i="2"/>
  <c r="AF14" i="2"/>
  <c r="AB121" i="2"/>
  <c r="AA121" i="2"/>
  <c r="AA153" i="2"/>
  <c r="AE12" i="2"/>
  <c r="AE44" i="2"/>
  <c r="AF44" i="2"/>
  <c r="AG44" i="2"/>
  <c r="AE76" i="2"/>
  <c r="AF76" i="2"/>
  <c r="AG76" i="2"/>
  <c r="AE108" i="2"/>
  <c r="AA39" i="2"/>
  <c r="W6" i="2"/>
  <c r="X6" i="2"/>
  <c r="AB132" i="2"/>
  <c r="AA132" i="2"/>
  <c r="W159" i="2"/>
  <c r="X159" i="2"/>
  <c r="W5" i="2"/>
  <c r="X5" i="2"/>
  <c r="AB29" i="2"/>
  <c r="AA29" i="2"/>
  <c r="AE53" i="2"/>
  <c r="W69" i="2"/>
  <c r="AB93" i="2"/>
  <c r="AA93" i="2"/>
  <c r="AE127" i="2"/>
  <c r="AA47" i="2"/>
  <c r="AB47" i="2"/>
  <c r="W128" i="2"/>
  <c r="X128" i="2"/>
  <c r="AE38" i="2"/>
  <c r="AF38" i="2"/>
  <c r="AE140" i="2"/>
  <c r="AF140" i="2"/>
  <c r="AE172" i="2"/>
  <c r="AF172" i="2"/>
  <c r="AG172" i="2"/>
  <c r="AC172" i="2"/>
  <c r="W24" i="2"/>
  <c r="X24" i="2"/>
  <c r="W62" i="2"/>
  <c r="X62" i="2"/>
  <c r="AB122" i="2"/>
  <c r="AA122" i="2"/>
  <c r="AE154" i="2"/>
  <c r="AF105" i="2"/>
  <c r="AE105" i="2"/>
  <c r="AF10" i="2"/>
  <c r="AE10" i="2"/>
  <c r="W90" i="2"/>
  <c r="AA99" i="2"/>
  <c r="W99" i="2"/>
  <c r="AA20" i="2"/>
  <c r="W102" i="2"/>
  <c r="AE61" i="2"/>
  <c r="AF61" i="2"/>
  <c r="AA119" i="2"/>
  <c r="AB119" i="2"/>
  <c r="X165" i="2"/>
  <c r="W165" i="2"/>
  <c r="AE111" i="2"/>
  <c r="AF111" i="2"/>
  <c r="AE96" i="2"/>
  <c r="AE32" i="2"/>
  <c r="AF33" i="2"/>
  <c r="AE33" i="2"/>
  <c r="AF97" i="2"/>
  <c r="AE97" i="2"/>
  <c r="W76" i="2"/>
  <c r="AG168" i="2"/>
  <c r="AC168" i="2"/>
  <c r="AE168" i="2"/>
  <c r="AF168" i="2"/>
  <c r="AF26" i="2"/>
  <c r="AE26" i="2"/>
  <c r="W42" i="2"/>
  <c r="AE90" i="2"/>
  <c r="W106" i="2"/>
  <c r="X106" i="2"/>
  <c r="AE31" i="2"/>
  <c r="AF31" i="2"/>
  <c r="W79" i="2"/>
  <c r="AA112" i="2"/>
  <c r="AB112" i="2"/>
  <c r="W78" i="2"/>
  <c r="X78" i="2"/>
  <c r="AA134" i="2"/>
  <c r="AA166" i="2"/>
  <c r="AB166" i="2"/>
  <c r="W27" i="2"/>
  <c r="W59" i="2"/>
  <c r="X59" i="2"/>
  <c r="W91" i="2"/>
  <c r="AA32" i="2"/>
  <c r="W36" i="2"/>
  <c r="X36" i="2"/>
  <c r="AE126" i="2"/>
  <c r="AE158" i="2"/>
  <c r="AA12" i="2"/>
  <c r="AA44" i="2"/>
  <c r="AA76" i="2"/>
  <c r="AA108" i="2"/>
  <c r="W39" i="2"/>
  <c r="W38" i="2"/>
  <c r="X38" i="2"/>
  <c r="AE137" i="2"/>
  <c r="AF137" i="2"/>
  <c r="AE161" i="2"/>
  <c r="AF161" i="2"/>
  <c r="AE13" i="2"/>
  <c r="AF13" i="2"/>
  <c r="W29" i="2"/>
  <c r="X29" i="2"/>
  <c r="AA53" i="2"/>
  <c r="AE77" i="2"/>
  <c r="AF77" i="2"/>
  <c r="W93" i="2"/>
  <c r="AE135" i="2"/>
  <c r="AF135" i="2"/>
  <c r="W47" i="2"/>
  <c r="X47" i="2"/>
  <c r="W136" i="2"/>
  <c r="AE70" i="2"/>
  <c r="AF70" i="2"/>
  <c r="AA143" i="2"/>
  <c r="AE3" i="2"/>
  <c r="AA56" i="2"/>
  <c r="AB56" i="2"/>
  <c r="W133" i="2"/>
  <c r="AA138" i="2"/>
  <c r="AF170" i="2"/>
  <c r="AE170" i="2"/>
  <c r="AA162" i="2"/>
  <c r="AB130" i="2"/>
  <c r="AA130" i="2"/>
  <c r="AF73" i="2"/>
  <c r="AE73" i="2"/>
  <c r="AE74" i="2"/>
  <c r="W35" i="2"/>
  <c r="X35" i="2"/>
  <c r="AB84" i="2"/>
  <c r="AA84" i="2"/>
  <c r="X77" i="2"/>
  <c r="W77" i="2"/>
  <c r="W86" i="2"/>
  <c r="W89" i="2"/>
  <c r="AE57" i="2"/>
  <c r="AB117" i="2"/>
  <c r="AA117" i="2"/>
  <c r="AF65" i="2"/>
  <c r="AE65" i="2"/>
  <c r="AA8" i="2"/>
  <c r="AE136" i="2"/>
  <c r="AF136" i="2"/>
  <c r="AB66" i="2"/>
  <c r="AA66" i="2"/>
  <c r="AB43" i="2"/>
  <c r="AA43" i="2"/>
  <c r="W9" i="2"/>
  <c r="X9" i="2"/>
  <c r="X41" i="2"/>
  <c r="W41" i="2"/>
  <c r="X73" i="2"/>
  <c r="W73" i="2"/>
  <c r="X105" i="2"/>
  <c r="W105" i="2"/>
  <c r="W8" i="2"/>
  <c r="AE86" i="2"/>
  <c r="AA139" i="2"/>
  <c r="AB171" i="2"/>
  <c r="AA171" i="2"/>
  <c r="AB26" i="2"/>
  <c r="AA26" i="2"/>
  <c r="AE50" i="2"/>
  <c r="W66" i="2"/>
  <c r="X66" i="2"/>
  <c r="AA90" i="2"/>
  <c r="AF114" i="2"/>
  <c r="AE114" i="2"/>
  <c r="AA31" i="2"/>
  <c r="AB31" i="2"/>
  <c r="W160" i="2"/>
  <c r="X160" i="2"/>
  <c r="X112" i="2"/>
  <c r="W112" i="2"/>
  <c r="AE88" i="2"/>
  <c r="AE139" i="2"/>
  <c r="AF139" i="2"/>
  <c r="AG139" i="2"/>
  <c r="AF171" i="2"/>
  <c r="AE171" i="2"/>
  <c r="AE35" i="2"/>
  <c r="AF35" i="2"/>
  <c r="AE67" i="2"/>
  <c r="AF67" i="2"/>
  <c r="AE99" i="2"/>
  <c r="AF99" i="2"/>
  <c r="AG99" i="2"/>
  <c r="W32" i="2"/>
  <c r="AE46" i="2"/>
  <c r="AB129" i="2"/>
  <c r="AA129" i="2"/>
  <c r="AB161" i="2"/>
  <c r="AA161" i="2"/>
  <c r="AE20" i="2"/>
  <c r="AE52" i="2"/>
  <c r="AE84" i="2"/>
  <c r="AF84" i="2"/>
  <c r="AE116" i="2"/>
  <c r="AF116" i="2"/>
  <c r="AG116" i="2"/>
  <c r="AE63" i="2"/>
  <c r="AF63" i="2"/>
  <c r="W70" i="2"/>
  <c r="X70" i="2"/>
  <c r="AB140" i="2"/>
  <c r="AA140" i="2"/>
  <c r="AB164" i="2"/>
  <c r="AA164" i="2"/>
  <c r="AB13" i="2"/>
  <c r="AA13" i="2"/>
  <c r="AE37" i="2"/>
  <c r="W53" i="2"/>
  <c r="AB77" i="2"/>
  <c r="AA77" i="2"/>
  <c r="AE101" i="2"/>
  <c r="AF101" i="2"/>
  <c r="AE151" i="2"/>
  <c r="AF151" i="2"/>
  <c r="AE71" i="2"/>
  <c r="AF71" i="2"/>
  <c r="W168" i="2"/>
  <c r="X168" i="2"/>
  <c r="AG102" i="2"/>
  <c r="AE102" i="2"/>
  <c r="AF102" i="2"/>
  <c r="AE148" i="2"/>
  <c r="AE103" i="2"/>
  <c r="AF103" i="2"/>
  <c r="W56" i="2"/>
  <c r="X56" i="2"/>
  <c r="X149" i="2"/>
  <c r="W149" i="2"/>
  <c r="AA154" i="2"/>
  <c r="W94" i="2"/>
  <c r="W157" i="2"/>
  <c r="X141" i="2"/>
  <c r="W141" i="2"/>
</calcChain>
</file>

<file path=xl/sharedStrings.xml><?xml version="1.0" encoding="utf-8"?>
<sst xmlns="http://schemas.openxmlformats.org/spreadsheetml/2006/main" count="1840" uniqueCount="576">
  <si>
    <t>4-001</t>
  </si>
  <si>
    <t>St. John's</t>
  </si>
  <si>
    <t>255 012</t>
  </si>
  <si>
    <t>4-010</t>
  </si>
  <si>
    <t>Halifax</t>
  </si>
  <si>
    <t>435 820</t>
  </si>
  <si>
    <t>4-018</t>
  </si>
  <si>
    <t>Moncton</t>
  </si>
  <si>
    <t>178 500</t>
  </si>
  <si>
    <t>4-028</t>
  </si>
  <si>
    <t>Chicoutimi-Jonquière</t>
  </si>
  <si>
    <t>218 377</t>
  </si>
  <si>
    <t>4-030</t>
  </si>
  <si>
    <t>Québec</t>
  </si>
  <si>
    <t>904 330</t>
  </si>
  <si>
    <t>4-037</t>
  </si>
  <si>
    <t>Trois-Rivières</t>
  </si>
  <si>
    <t>265 152</t>
  </si>
  <si>
    <t>4-042</t>
  </si>
  <si>
    <t>Sherbrooke</t>
  </si>
  <si>
    <t>250 227</t>
  </si>
  <si>
    <t>4-051</t>
  </si>
  <si>
    <t>Montréal</t>
  </si>
  <si>
    <t>4 352 037</t>
  </si>
  <si>
    <t>4-055</t>
  </si>
  <si>
    <t>Ottawa</t>
  </si>
  <si>
    <t>1 452 852</t>
  </si>
  <si>
    <t>4-070</t>
  </si>
  <si>
    <t>Kingston</t>
  </si>
  <si>
    <t>177 314</t>
  </si>
  <si>
    <t>Tier Number</t>
  </si>
  <si>
    <t>Tier Name</t>
  </si>
  <si>
    <t>Population</t>
  </si>
  <si>
    <t>5 year or 7 year Requirement</t>
  </si>
  <si>
    <t>10 year DR</t>
  </si>
  <si>
    <t>5 year DR</t>
  </si>
  <si>
    <t>20 year DR</t>
  </si>
  <si>
    <t>4-077</t>
  </si>
  <si>
    <t>Toronto</t>
  </si>
  <si>
    <t>7 030 750</t>
  </si>
  <si>
    <t>4-079</t>
  </si>
  <si>
    <t>Guelph/Kitchener</t>
  </si>
  <si>
    <t>707 534</t>
  </si>
  <si>
    <t>4-084</t>
  </si>
  <si>
    <t>Niagara/St. Catharines</t>
  </si>
  <si>
    <t>349 283</t>
  </si>
  <si>
    <t>4-086</t>
  </si>
  <si>
    <t>London/Woodstock/St. Thomas</t>
  </si>
  <si>
    <t>678 149</t>
  </si>
  <si>
    <t>4-090</t>
  </si>
  <si>
    <t>Windsor/Leamington</t>
  </si>
  <si>
    <t>401 719</t>
  </si>
  <si>
    <t>4-094</t>
  </si>
  <si>
    <t>Barrie</t>
  </si>
  <si>
    <t>352 290</t>
  </si>
  <si>
    <t>4-111</t>
  </si>
  <si>
    <t>Winnipeg</t>
  </si>
  <si>
    <t>830 151</t>
  </si>
  <si>
    <t>4-124</t>
  </si>
  <si>
    <t>Regina</t>
  </si>
  <si>
    <t>260 382</t>
  </si>
  <si>
    <t>4-125</t>
  </si>
  <si>
    <t>Saskatoon</t>
  </si>
  <si>
    <t>306 824</t>
  </si>
  <si>
    <t>4-136</t>
  </si>
  <si>
    <t>Calgary</t>
  </si>
  <si>
    <t>1 416 856</t>
  </si>
  <si>
    <t>4-141</t>
  </si>
  <si>
    <t>Edmonton</t>
  </si>
  <si>
    <t>1 325 857</t>
  </si>
  <si>
    <t>4-151</t>
  </si>
  <si>
    <t>Kelowna</t>
  </si>
  <si>
    <t>362 815</t>
  </si>
  <si>
    <t>4-152</t>
  </si>
  <si>
    <t>Vancouver</t>
  </si>
  <si>
    <t>2 731 567</t>
  </si>
  <si>
    <t>4-154</t>
  </si>
  <si>
    <t>Victoria</t>
  </si>
  <si>
    <t>458 861</t>
  </si>
  <si>
    <t>4-002</t>
  </si>
  <si>
    <t>Placentia</t>
  </si>
  <si>
    <t>15 304</t>
  </si>
  <si>
    <t>4-003</t>
  </si>
  <si>
    <t>Gander/Grand Falls/Windsor</t>
  </si>
  <si>
    <t>144 229</t>
  </si>
  <si>
    <t>4-004</t>
  </si>
  <si>
    <t>Corner Brook/Stephenville</t>
  </si>
  <si>
    <t>77 974</t>
  </si>
  <si>
    <t>4-005</t>
  </si>
  <si>
    <t>Labrador</t>
  </si>
  <si>
    <t>27 656</t>
  </si>
  <si>
    <t>4-006</t>
  </si>
  <si>
    <t>Charlottetown</t>
  </si>
  <si>
    <t>95 350</t>
  </si>
  <si>
    <t>4-007</t>
  </si>
  <si>
    <t>Summerside</t>
  </si>
  <si>
    <t>47 557</t>
  </si>
  <si>
    <t>4-008</t>
  </si>
  <si>
    <t>Yarmouth</t>
  </si>
  <si>
    <t>55 609</t>
  </si>
  <si>
    <t>4-009</t>
  </si>
  <si>
    <t>Bridgewater/Kentville</t>
  </si>
  <si>
    <t>139 289</t>
  </si>
  <si>
    <t>4-011</t>
  </si>
  <si>
    <t>Truro</t>
  </si>
  <si>
    <t>56 649</t>
  </si>
  <si>
    <t>4-012</t>
  </si>
  <si>
    <t>Amherst</t>
  </si>
  <si>
    <t>33 373</t>
  </si>
  <si>
    <t>4-013</t>
  </si>
  <si>
    <t>Antigonish/New Glasgow</t>
  </si>
  <si>
    <t>71 445</t>
  </si>
  <si>
    <t>4-014</t>
  </si>
  <si>
    <t>Sydney</t>
  </si>
  <si>
    <t>131 379</t>
  </si>
  <si>
    <t>4-015</t>
  </si>
  <si>
    <t>Saint John</t>
  </si>
  <si>
    <t>142 898</t>
  </si>
  <si>
    <t>4-016</t>
  </si>
  <si>
    <t>St. Stephen</t>
  </si>
  <si>
    <t>25 087</t>
  </si>
  <si>
    <t>4-017</t>
  </si>
  <si>
    <t>Fredericton</t>
  </si>
  <si>
    <t>164 871</t>
  </si>
  <si>
    <t>4-019</t>
  </si>
  <si>
    <t>Miramichi/Bathurst</t>
  </si>
  <si>
    <t>156 025</t>
  </si>
  <si>
    <t>4-020</t>
  </si>
  <si>
    <t>Grand Falls</t>
  </si>
  <si>
    <t>24 936</t>
  </si>
  <si>
    <t>4-021</t>
  </si>
  <si>
    <t>Edmundston</t>
  </si>
  <si>
    <t>26 504</t>
  </si>
  <si>
    <t>4-022</t>
  </si>
  <si>
    <t>Campbellton</t>
  </si>
  <si>
    <t>26 776</t>
  </si>
  <si>
    <t>4-023</t>
  </si>
  <si>
    <t>Matane</t>
  </si>
  <si>
    <t>112 039</t>
  </si>
  <si>
    <t>4-024</t>
  </si>
  <si>
    <t>Mont-Joli</t>
  </si>
  <si>
    <t>37 788</t>
  </si>
  <si>
    <t>4-025</t>
  </si>
  <si>
    <t>Rimouski</t>
  </si>
  <si>
    <t>56 619</t>
  </si>
  <si>
    <t>4-026</t>
  </si>
  <si>
    <t>Rivière-du-Loup</t>
  </si>
  <si>
    <t>82 869</t>
  </si>
  <si>
    <t>4-027</t>
  </si>
  <si>
    <t>La Malbaie</t>
  </si>
  <si>
    <t>28 193</t>
  </si>
  <si>
    <t>4-029</t>
  </si>
  <si>
    <t>Montmagny</t>
  </si>
  <si>
    <t>56 808</t>
  </si>
  <si>
    <t>4-031</t>
  </si>
  <si>
    <t>Sainte-Marie</t>
  </si>
  <si>
    <t>53 258</t>
  </si>
  <si>
    <t>4-032</t>
  </si>
  <si>
    <t>Saint-Georges</t>
  </si>
  <si>
    <t>71 425</t>
  </si>
  <si>
    <t>4-033</t>
  </si>
  <si>
    <t>Lac-Mégantic</t>
  </si>
  <si>
    <t>24 223</t>
  </si>
  <si>
    <t>4-034</t>
  </si>
  <si>
    <t>Thetford Mines</t>
  </si>
  <si>
    <t>42 019</t>
  </si>
  <si>
    <t>4-035</t>
  </si>
  <si>
    <t>Plessisville</t>
  </si>
  <si>
    <t>22 772</t>
  </si>
  <si>
    <t>4-036</t>
  </si>
  <si>
    <t>La Tuque</t>
  </si>
  <si>
    <t>16 219</t>
  </si>
  <si>
    <t>4-038</t>
  </si>
  <si>
    <t>Louiseville</t>
  </si>
  <si>
    <t>21 708</t>
  </si>
  <si>
    <t>4-039</t>
  </si>
  <si>
    <t>Asbestos</t>
  </si>
  <si>
    <t>29 744</t>
  </si>
  <si>
    <t>4-040</t>
  </si>
  <si>
    <t>Victoriaville</t>
  </si>
  <si>
    <t>56 684</t>
  </si>
  <si>
    <t>4-041</t>
  </si>
  <si>
    <t>Coaticook</t>
  </si>
  <si>
    <t>12 981</t>
  </si>
  <si>
    <t>4-043</t>
  </si>
  <si>
    <t>Windsor</t>
  </si>
  <si>
    <t>16 777</t>
  </si>
  <si>
    <t>4-044</t>
  </si>
  <si>
    <t>Drummondville</t>
  </si>
  <si>
    <t>112 390</t>
  </si>
  <si>
    <t>4-045</t>
  </si>
  <si>
    <t>Cowansville</t>
  </si>
  <si>
    <t>29 083</t>
  </si>
  <si>
    <t>4-046</t>
  </si>
  <si>
    <t>Farnham</t>
  </si>
  <si>
    <t>29 593</t>
  </si>
  <si>
    <t>4-047</t>
  </si>
  <si>
    <t>Granby</t>
  </si>
  <si>
    <t>105 440</t>
  </si>
  <si>
    <t>4-048</t>
  </si>
  <si>
    <t>St-Hyacinthe</t>
  </si>
  <si>
    <t>92 092</t>
  </si>
  <si>
    <t>4-049</t>
  </si>
  <si>
    <t>Sorel</t>
  </si>
  <si>
    <t>58 740</t>
  </si>
  <si>
    <t>4-050</t>
  </si>
  <si>
    <t>Joliette</t>
  </si>
  <si>
    <t>161 106</t>
  </si>
  <si>
    <t>4-052</t>
  </si>
  <si>
    <t>Sainte-Agathe-des-Monts</t>
  </si>
  <si>
    <t>77 087</t>
  </si>
  <si>
    <t>4-053</t>
  </si>
  <si>
    <t>Hawkesbury</t>
  </si>
  <si>
    <t>64 131</t>
  </si>
  <si>
    <t>4-054</t>
  </si>
  <si>
    <t>Mont-Laurier/Maniwaki</t>
  </si>
  <si>
    <t>48 488</t>
  </si>
  <si>
    <t>4-056</t>
  </si>
  <si>
    <t>Pembroke</t>
  </si>
  <si>
    <t>82 200</t>
  </si>
  <si>
    <t>4-057</t>
  </si>
  <si>
    <t>Arnprior/Renfrew</t>
  </si>
  <si>
    <t>31 367</t>
  </si>
  <si>
    <t>4-058</t>
  </si>
  <si>
    <t>Rouyn-Noranda</t>
  </si>
  <si>
    <t>43 108</t>
  </si>
  <si>
    <t>4-059</t>
  </si>
  <si>
    <t>Notre-Dame-du-Nord</t>
  </si>
  <si>
    <t>16 023</t>
  </si>
  <si>
    <t>4-060</t>
  </si>
  <si>
    <t>La Sarre</t>
  </si>
  <si>
    <t>19 349</t>
  </si>
  <si>
    <t>4-061</t>
  </si>
  <si>
    <t>Amos</t>
  </si>
  <si>
    <t>25 096</t>
  </si>
  <si>
    <t>4-062</t>
  </si>
  <si>
    <t>Val-d'Or</t>
  </si>
  <si>
    <t>44 619</t>
  </si>
  <si>
    <t>4-063</t>
  </si>
  <si>
    <t>Roberval/Saint-Félicien</t>
  </si>
  <si>
    <t>58 438</t>
  </si>
  <si>
    <t>4-064</t>
  </si>
  <si>
    <t>Baie-Comeau</t>
  </si>
  <si>
    <t>43 675</t>
  </si>
  <si>
    <t>4-065</t>
  </si>
  <si>
    <t>Port-Cartier/Sept-Îles</t>
  </si>
  <si>
    <t>46 983</t>
  </si>
  <si>
    <t>4-066</t>
  </si>
  <si>
    <t>Chibougamau</t>
  </si>
  <si>
    <t>45 730</t>
  </si>
  <si>
    <t>4-067</t>
  </si>
  <si>
    <t>Cornwall</t>
  </si>
  <si>
    <t>69 729</t>
  </si>
  <si>
    <t>4-068</t>
  </si>
  <si>
    <t>Brockville</t>
  </si>
  <si>
    <t>70 563</t>
  </si>
  <si>
    <t>4-069</t>
  </si>
  <si>
    <t>Gananoque</t>
  </si>
  <si>
    <t>13 150</t>
  </si>
  <si>
    <t>4-071</t>
  </si>
  <si>
    <t>Napanee</t>
  </si>
  <si>
    <t>42 993</t>
  </si>
  <si>
    <t>4-072</t>
  </si>
  <si>
    <t>Belleville</t>
  </si>
  <si>
    <t>154 982</t>
  </si>
  <si>
    <t>4-073</t>
  </si>
  <si>
    <t>Cobourg</t>
  </si>
  <si>
    <t>65 180</t>
  </si>
  <si>
    <t>4-074</t>
  </si>
  <si>
    <t>Peterborough</t>
  </si>
  <si>
    <t>165 516</t>
  </si>
  <si>
    <t>4-075</t>
  </si>
  <si>
    <t>Lindsay</t>
  </si>
  <si>
    <t>45 902</t>
  </si>
  <si>
    <t>4-076</t>
  </si>
  <si>
    <t>Minden</t>
  </si>
  <si>
    <t>20 813</t>
  </si>
  <si>
    <t>4-078</t>
  </si>
  <si>
    <t>Alliston</t>
  </si>
  <si>
    <t>129 279</t>
  </si>
  <si>
    <t>4-080</t>
  </si>
  <si>
    <t>Fergus</t>
  </si>
  <si>
    <t>30 010</t>
  </si>
  <si>
    <t>4-081</t>
  </si>
  <si>
    <t>Kincardine</t>
  </si>
  <si>
    <t>185 818</t>
  </si>
  <si>
    <t>4-082</t>
  </si>
  <si>
    <t>Listowel/Goderich</t>
  </si>
  <si>
    <t>84 257</t>
  </si>
  <si>
    <t>4-083</t>
  </si>
  <si>
    <t>Fort Erie</t>
  </si>
  <si>
    <t>31 072</t>
  </si>
  <si>
    <t>4-085</t>
  </si>
  <si>
    <t>Haldimand/Dunnville</t>
  </si>
  <si>
    <t>37 398</t>
  </si>
  <si>
    <t>4-087</t>
  </si>
  <si>
    <t>Brantford</t>
  </si>
  <si>
    <t>138 535</t>
  </si>
  <si>
    <t>4-088</t>
  </si>
  <si>
    <t>Stratford</t>
  </si>
  <si>
    <t>51 339</t>
  </si>
  <si>
    <t>4-089</t>
  </si>
  <si>
    <t>Chatham</t>
  </si>
  <si>
    <t>68 885</t>
  </si>
  <si>
    <t>4-091</t>
  </si>
  <si>
    <t>Wallaceburg</t>
  </si>
  <si>
    <t>30 983</t>
  </si>
  <si>
    <t>4-092</t>
  </si>
  <si>
    <t>Sarnia</t>
  </si>
  <si>
    <t>123 953</t>
  </si>
  <si>
    <t>4-093</t>
  </si>
  <si>
    <t>Strathroy</t>
  </si>
  <si>
    <t>46 727</t>
  </si>
  <si>
    <t>4-095</t>
  </si>
  <si>
    <t>Midland</t>
  </si>
  <si>
    <t>49 059</t>
  </si>
  <si>
    <t>4-096</t>
  </si>
  <si>
    <t>Gravenhurst/Bracebridge</t>
  </si>
  <si>
    <t>61 892</t>
  </si>
  <si>
    <t>4-097</t>
  </si>
  <si>
    <t>North Bay</t>
  </si>
  <si>
    <t>104 524</t>
  </si>
  <si>
    <t>4-098</t>
  </si>
  <si>
    <t>Parry Sound</t>
  </si>
  <si>
    <t>21 123</t>
  </si>
  <si>
    <t>4-099</t>
  </si>
  <si>
    <t>Elliot Lake</t>
  </si>
  <si>
    <t>29 520</t>
  </si>
  <si>
    <t>4-100</t>
  </si>
  <si>
    <t>Sudbury</t>
  </si>
  <si>
    <t>178 872</t>
  </si>
  <si>
    <t>4-101</t>
  </si>
  <si>
    <t>Kirkland Lake</t>
  </si>
  <si>
    <t>32 402</t>
  </si>
  <si>
    <t>4-102</t>
  </si>
  <si>
    <t>Timmins</t>
  </si>
  <si>
    <t>42 086</t>
  </si>
  <si>
    <t>4-103</t>
  </si>
  <si>
    <t>Kapuskasing</t>
  </si>
  <si>
    <t>38 024</t>
  </si>
  <si>
    <t>4-104</t>
  </si>
  <si>
    <t>Kenora/Sioux Lookout</t>
  </si>
  <si>
    <t>64 826</t>
  </si>
  <si>
    <t>4-105</t>
  </si>
  <si>
    <t>Iron Bridge</t>
  </si>
  <si>
    <t>20 162</t>
  </si>
  <si>
    <t>4-106</t>
  </si>
  <si>
    <t>Sault Ste. Marie</t>
  </si>
  <si>
    <t>80 833</t>
  </si>
  <si>
    <t>4-107</t>
  </si>
  <si>
    <t>Marathon</t>
  </si>
  <si>
    <t>24 923</t>
  </si>
  <si>
    <t>4-108</t>
  </si>
  <si>
    <t>Thunder Bay</t>
  </si>
  <si>
    <t>121 061</t>
  </si>
  <si>
    <t>4-109</t>
  </si>
  <si>
    <t>Fort Frances</t>
  </si>
  <si>
    <t>20 095</t>
  </si>
  <si>
    <t>4-110</t>
  </si>
  <si>
    <t>Steinbach</t>
  </si>
  <si>
    <t>64 764</t>
  </si>
  <si>
    <t>4-112</t>
  </si>
  <si>
    <t>Lac du Bonnet</t>
  </si>
  <si>
    <t>58 076</t>
  </si>
  <si>
    <t>4-113</t>
  </si>
  <si>
    <t>Morden/Winkler</t>
  </si>
  <si>
    <t>51 609</t>
  </si>
  <si>
    <t>4-114</t>
  </si>
  <si>
    <t>Brandon</t>
  </si>
  <si>
    <t>103 743</t>
  </si>
  <si>
    <t>4-115</t>
  </si>
  <si>
    <t>Portage la Prairie</t>
  </si>
  <si>
    <t>21 273</t>
  </si>
  <si>
    <t>4-116</t>
  </si>
  <si>
    <t>Dauphin</t>
  </si>
  <si>
    <t>75 508</t>
  </si>
  <si>
    <t>4-117</t>
  </si>
  <si>
    <t>Creighton/Flin Flon</t>
  </si>
  <si>
    <t>22 228</t>
  </si>
  <si>
    <t>4-118</t>
  </si>
  <si>
    <t>Thompson</t>
  </si>
  <si>
    <t>50 665</t>
  </si>
  <si>
    <t>4-119</t>
  </si>
  <si>
    <t>Estevan</t>
  </si>
  <si>
    <t>46 006</t>
  </si>
  <si>
    <t>4-120</t>
  </si>
  <si>
    <t>Weyburn</t>
  </si>
  <si>
    <t>22 877</t>
  </si>
  <si>
    <t>4-121</t>
  </si>
  <si>
    <t>Moose Jaw</t>
  </si>
  <si>
    <t>55 141</t>
  </si>
  <si>
    <t>4-122</t>
  </si>
  <si>
    <t>Swift Current</t>
  </si>
  <si>
    <t>46 219</t>
  </si>
  <si>
    <t>4-123</t>
  </si>
  <si>
    <t>Yorkton</t>
  </si>
  <si>
    <t>63 024</t>
  </si>
  <si>
    <t>4-126</t>
  </si>
  <si>
    <t>Watrous</t>
  </si>
  <si>
    <t>27 288</t>
  </si>
  <si>
    <t>4-127</t>
  </si>
  <si>
    <t>Battleford</t>
  </si>
  <si>
    <t>99 433</t>
  </si>
  <si>
    <t>4-128</t>
  </si>
  <si>
    <t>Prince Albert</t>
  </si>
  <si>
    <t>130 446</t>
  </si>
  <si>
    <t>4-129</t>
  </si>
  <si>
    <t>Lloydminster</t>
  </si>
  <si>
    <t>37 539</t>
  </si>
  <si>
    <t>4-130</t>
  </si>
  <si>
    <t>37 064</t>
  </si>
  <si>
    <t>4-131</t>
  </si>
  <si>
    <t>Medicine Hat/Brooks</t>
  </si>
  <si>
    <t>107 233</t>
  </si>
  <si>
    <t>4-132</t>
  </si>
  <si>
    <t>Lethbridge</t>
  </si>
  <si>
    <t>189 709</t>
  </si>
  <si>
    <t>4-133</t>
  </si>
  <si>
    <t>Stettler/Oyen/Wainwright</t>
  </si>
  <si>
    <t>51 420</t>
  </si>
  <si>
    <t>4-134</t>
  </si>
  <si>
    <t>High River</t>
  </si>
  <si>
    <t>120 208</t>
  </si>
  <si>
    <t>4-135</t>
  </si>
  <si>
    <t>Strathmore</t>
  </si>
  <si>
    <t>45 478</t>
  </si>
  <si>
    <t>4-137</t>
  </si>
  <si>
    <t>Red Deer</t>
  </si>
  <si>
    <t>206 387</t>
  </si>
  <si>
    <t>4-138</t>
  </si>
  <si>
    <t>Wetaskiwin/Ponoka</t>
  </si>
  <si>
    <t>54 340</t>
  </si>
  <si>
    <t>4-139</t>
  </si>
  <si>
    <t>Camrose</t>
  </si>
  <si>
    <t>40 145</t>
  </si>
  <si>
    <t>4-140</t>
  </si>
  <si>
    <t>Vegreville</t>
  </si>
  <si>
    <t>15 396</t>
  </si>
  <si>
    <t>4-142</t>
  </si>
  <si>
    <t>Edson/Hinton</t>
  </si>
  <si>
    <t>49 814</t>
  </si>
  <si>
    <t>4-143</t>
  </si>
  <si>
    <t>Bonnyville</t>
  </si>
  <si>
    <t>83 631</t>
  </si>
  <si>
    <t>4-144</t>
  </si>
  <si>
    <t>Whitecourt</t>
  </si>
  <si>
    <t>32 669</t>
  </si>
  <si>
    <t>4-145</t>
  </si>
  <si>
    <t>Barrhead</t>
  </si>
  <si>
    <t>23 437</t>
  </si>
  <si>
    <t>4-146</t>
  </si>
  <si>
    <t>Fort McMurray</t>
  </si>
  <si>
    <t>73 953</t>
  </si>
  <si>
    <t>4-147</t>
  </si>
  <si>
    <t>Peace River</t>
  </si>
  <si>
    <t>86 745</t>
  </si>
  <si>
    <t>4-148</t>
  </si>
  <si>
    <t>Grande Prairie</t>
  </si>
  <si>
    <t>110 027</t>
  </si>
  <si>
    <t>4-149</t>
  </si>
  <si>
    <t>East Kootenay | Kootenay-Est</t>
  </si>
  <si>
    <t>60 371</t>
  </si>
  <si>
    <t>4-150</t>
  </si>
  <si>
    <t>West Kootenay | Kootenay-Ouest</t>
  </si>
  <si>
    <t>78 941</t>
  </si>
  <si>
    <t>4-153</t>
  </si>
  <si>
    <t>Hope</t>
  </si>
  <si>
    <t>26 093</t>
  </si>
  <si>
    <t>4-155</t>
  </si>
  <si>
    <t>Nanaimo</t>
  </si>
  <si>
    <t>194 922</t>
  </si>
  <si>
    <t>4-156</t>
  </si>
  <si>
    <t>Courtenay</t>
  </si>
  <si>
    <t>118 732</t>
  </si>
  <si>
    <t>4-157</t>
  </si>
  <si>
    <t>Powell River</t>
  </si>
  <si>
    <t>26 865</t>
  </si>
  <si>
    <t>4-158</t>
  </si>
  <si>
    <t>Squamish/Whistler</t>
  </si>
  <si>
    <t>74 365</t>
  </si>
  <si>
    <t>4-159</t>
  </si>
  <si>
    <t>Merritt</t>
  </si>
  <si>
    <t>15 649</t>
  </si>
  <si>
    <t>4-160</t>
  </si>
  <si>
    <t>Kamloops</t>
  </si>
  <si>
    <t>106 972</t>
  </si>
  <si>
    <t>4-161</t>
  </si>
  <si>
    <t>Ashcroft</t>
  </si>
  <si>
    <t>15 070</t>
  </si>
  <si>
    <t>4-162</t>
  </si>
  <si>
    <t>Salmon Arm</t>
  </si>
  <si>
    <t>51 024</t>
  </si>
  <si>
    <t>4-163</t>
  </si>
  <si>
    <t>Golden</t>
  </si>
  <si>
    <t>6 854</t>
  </si>
  <si>
    <t>4-164</t>
  </si>
  <si>
    <t>Williams Lake</t>
  </si>
  <si>
    <t>38 440</t>
  </si>
  <si>
    <t>4-165</t>
  </si>
  <si>
    <t>Quesnel/Red Bluff</t>
  </si>
  <si>
    <t>23 558</t>
  </si>
  <si>
    <t>4-166</t>
  </si>
  <si>
    <t>Skeena</t>
  </si>
  <si>
    <t>56 234</t>
  </si>
  <si>
    <t>4-167</t>
  </si>
  <si>
    <t>Prince George</t>
  </si>
  <si>
    <t>94 607</t>
  </si>
  <si>
    <t>4-168</t>
  </si>
  <si>
    <t>Smithers</t>
  </si>
  <si>
    <t>37 646</t>
  </si>
  <si>
    <t>4-169</t>
  </si>
  <si>
    <t>Dawson Creek</t>
  </si>
  <si>
    <t>68 387</t>
  </si>
  <si>
    <t>4-170</t>
  </si>
  <si>
    <t>Yukon</t>
  </si>
  <si>
    <t>35 928</t>
  </si>
  <si>
    <t>4-171</t>
  </si>
  <si>
    <t>Nunavut</t>
  </si>
  <si>
    <t>35 975</t>
  </si>
  <si>
    <t>4-172</t>
  </si>
  <si>
    <t>41 668</t>
  </si>
  <si>
    <t>Northern Saskatchewan</t>
  </si>
  <si>
    <t>Northwest Territories</t>
  </si>
  <si>
    <t>Metro</t>
  </si>
  <si>
    <t>Urban</t>
  </si>
  <si>
    <t>Rural</t>
  </si>
  <si>
    <t>Remote</t>
  </si>
  <si>
    <t>Tier 5 Population Dynamics</t>
  </si>
  <si>
    <t>5 year or 7 year DR</t>
  </si>
  <si>
    <t>Census Difference (Total)</t>
  </si>
  <si>
    <t>Census Difference (&amp; of 2016 Pop)</t>
  </si>
  <si>
    <t>DR met by Metro/Urban</t>
  </si>
  <si>
    <t>DR met by Rural</t>
  </si>
  <si>
    <t>Population (2016)</t>
  </si>
  <si>
    <t>Population (2021)</t>
  </si>
  <si>
    <t>5 year DR (#)</t>
  </si>
  <si>
    <t>10 year DR (#)</t>
  </si>
  <si>
    <t>20 year DR (#)</t>
  </si>
  <si>
    <t>Yes</t>
  </si>
  <si>
    <t>DR met by Remote</t>
  </si>
  <si>
    <t>Metro/Urban</t>
  </si>
  <si>
    <t>Mix</t>
  </si>
  <si>
    <t>5 yr Met By</t>
  </si>
  <si>
    <t>10 yr Met By</t>
  </si>
  <si>
    <t>20 yr Met By</t>
  </si>
  <si>
    <t>Status Change (needs special weight</t>
  </si>
  <si>
    <t>Rural Remainder (#) for 10 yr</t>
  </si>
  <si>
    <t>Rural Remainder (%) for 20 yr</t>
  </si>
  <si>
    <t>Rural Remainder (%) for 10 yr</t>
  </si>
  <si>
    <t>Rural Remainder (#) for 20 yr</t>
  </si>
  <si>
    <t>5 Year Met By</t>
  </si>
  <si>
    <t>20 Year Met By</t>
  </si>
  <si>
    <t>10 Year Met By</t>
  </si>
  <si>
    <t>Specail Weight 10 Yr</t>
  </si>
  <si>
    <t>Specail Weight 20 yr</t>
  </si>
  <si>
    <t>100% Urban + 10% Rural</t>
  </si>
  <si>
    <t>100% Urban + 28% Rural</t>
  </si>
  <si>
    <t>100% Urban + 5% Rural</t>
  </si>
  <si>
    <t>100% Urban + 18% Rural</t>
  </si>
  <si>
    <t>100% Urban + 37% Rural</t>
  </si>
  <si>
    <t>100% Urban + 25% Rural</t>
  </si>
  <si>
    <t>100% Urban + 3% Rural</t>
  </si>
  <si>
    <t>100% Urban + 17% Rural</t>
  </si>
  <si>
    <t>100% Urban+ 45% Rural</t>
  </si>
  <si>
    <t>100% Urban + 13% Rural</t>
  </si>
  <si>
    <t>100% Urban + 1% Rural</t>
  </si>
  <si>
    <t>100% Urban + 21% Rural</t>
  </si>
  <si>
    <t>100% Urban + 7% Rural</t>
  </si>
  <si>
    <t>100% Urban+ 17% Rural</t>
  </si>
  <si>
    <t>100% Urban+ 28% Rural</t>
  </si>
  <si>
    <t>100% Urban+ 13% Rural</t>
  </si>
  <si>
    <t>100% Urban+ 19% Rural</t>
  </si>
  <si>
    <t>100% Urban+ 21% Rural</t>
  </si>
  <si>
    <t>100% Urban+ 2% Rural</t>
  </si>
  <si>
    <t>Northern Saskatchewan|Saskatchewan-Nord</t>
  </si>
  <si>
    <t>NorthwestTerritories|TerritoiresduNord-Ouest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</si>
</sst>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/>
    <xf numFmtId="1" fontId="0" fillId="0" borderId="1" xfId="0" applyNumberFormat="1" applyBorder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 wrapText="1"/>
    </xf>
    <xf numFmtId="1" fontId="0" fillId="0" borderId="0" xfId="0" applyNumberFormat="1"/>
    <xf numFmtId="1" fontId="0" fillId="0" borderId="0" xfId="0" applyNumberFormat="1" applyAlignment="1">
      <alignment vertical="center" wrapText="1"/>
    </xf>
    <xf numFmtId="0" fontId="0" fillId="3" borderId="0" xfId="0" applyFill="1"/>
    <xf numFmtId="1" fontId="0" fillId="3" borderId="0" xfId="0" applyNumberFormat="1" applyFill="1"/>
    <xf numFmtId="10" fontId="0" fillId="3" borderId="0" xfId="1" applyNumberFormat="1" applyFont="1" applyFill="1"/>
    <xf numFmtId="0" fontId="2" fillId="2" borderId="0" xfId="0" applyFont="1" applyFill="1" applyAlignment="1">
      <alignment horizontal="center" wrapText="1"/>
    </xf>
    <xf numFmtId="9" fontId="0" fillId="2" borderId="0" xfId="0" applyNumberFormat="1" applyFill="1" applyAlignment="1">
      <alignment vertical="center" wrapText="1"/>
    </xf>
    <xf numFmtId="0" fontId="2" fillId="2" borderId="0" xfId="0" applyFont="1" applyFill="1" applyAlignment="1">
      <alignment horizontal="center"/>
    </xf>
    <xf numFmtId="2" fontId="0" fillId="0" borderId="0" xfId="0" applyNumberFormat="1"/>
    <xf numFmtId="0" fontId="0" fillId="6" borderId="0" xfId="0" applyFill="1"/>
    <xf numFmtId="0" fontId="4" fillId="6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1" fontId="0" fillId="0" borderId="0" xfId="0" applyNumberFormat="1" applyFill="1"/>
    <xf numFmtId="164" fontId="0" fillId="0" borderId="0" xfId="0" applyNumberFormat="1" applyFill="1"/>
    <xf numFmtId="0" fontId="4" fillId="0" borderId="0" xfId="0" applyFont="1" applyFill="1"/>
    <xf numFmtId="0" fontId="2" fillId="0" borderId="0" xfId="0" applyFont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F296-FB1A-40C9-AC7D-E25E92DD2AF2}">
  <dimension ref="B1:P174"/>
  <sheetViews>
    <sheetView tabSelected="1" topLeftCell="A158" zoomScaleNormal="100" workbookViewId="0">
      <selection activeCell="C178" sqref="C178"/>
    </sheetView>
  </sheetViews>
  <sheetFormatPr defaultRowHeight="14.25" x14ac:dyDescent="0.45"/>
  <cols>
    <col min="3" max="3" width="28.9296875" bestFit="1" customWidth="1"/>
    <col min="4" max="4" width="10.33203125" hidden="1" customWidth="1"/>
    <col min="5" max="5" width="10.33203125" customWidth="1"/>
    <col min="6" max="8" width="12.59765625" customWidth="1"/>
    <col min="9" max="9" width="2.73046875" style="5" customWidth="1"/>
    <col min="10" max="13" width="16.59765625" customWidth="1"/>
    <col min="14" max="14" width="4" style="5" customWidth="1"/>
    <col min="15" max="16" width="16.59765625" customWidth="1"/>
  </cols>
  <sheetData>
    <row r="1" spans="2:16" x14ac:dyDescent="0.45">
      <c r="B1" s="27" t="s">
        <v>30</v>
      </c>
      <c r="C1" s="34" t="s">
        <v>31</v>
      </c>
      <c r="D1" s="27" t="s">
        <v>533</v>
      </c>
      <c r="E1" s="27" t="s">
        <v>534</v>
      </c>
      <c r="F1" s="28" t="s">
        <v>550</v>
      </c>
      <c r="G1" s="30" t="s">
        <v>552</v>
      </c>
      <c r="H1" s="32" t="s">
        <v>551</v>
      </c>
      <c r="J1" s="27" t="s">
        <v>546</v>
      </c>
      <c r="K1" s="27" t="s">
        <v>548</v>
      </c>
      <c r="L1" s="27" t="s">
        <v>549</v>
      </c>
      <c r="M1" s="27" t="s">
        <v>547</v>
      </c>
      <c r="O1" s="27" t="s">
        <v>553</v>
      </c>
      <c r="P1" s="27" t="s">
        <v>554</v>
      </c>
    </row>
    <row r="2" spans="2:16" x14ac:dyDescent="0.45">
      <c r="B2" s="27"/>
      <c r="C2" s="34"/>
      <c r="D2" s="27"/>
      <c r="E2" s="27"/>
      <c r="F2" s="29"/>
      <c r="G2" s="31"/>
      <c r="H2" s="33"/>
      <c r="J2" s="27"/>
      <c r="K2" s="27"/>
      <c r="L2" s="27"/>
      <c r="M2" s="27"/>
      <c r="O2" s="27"/>
      <c r="P2" s="27"/>
    </row>
    <row r="3" spans="2:16" x14ac:dyDescent="0.45">
      <c r="B3" s="1" t="s">
        <v>0</v>
      </c>
      <c r="C3" s="1" t="s">
        <v>1</v>
      </c>
      <c r="D3" s="12">
        <v>255012</v>
      </c>
      <c r="E3" s="12">
        <f>'DR Threshold Analysis'!D3</f>
        <v>257547.97</v>
      </c>
      <c r="F3" t="str">
        <f>'DR Threshold Analysis'!AI3</f>
        <v>Metro/Urban</v>
      </c>
      <c r="G3" t="str">
        <f>'DR Threshold Analysis'!AK3</f>
        <v>Metro/Urban</v>
      </c>
      <c r="H3" t="str">
        <f>'DR Threshold Analysis'!AM3</f>
        <v>Metro/Urban</v>
      </c>
      <c r="J3" s="22"/>
      <c r="K3" s="22"/>
    </row>
    <row r="4" spans="2:16" x14ac:dyDescent="0.45">
      <c r="B4" s="1" t="s">
        <v>79</v>
      </c>
      <c r="C4" s="1" t="s">
        <v>80</v>
      </c>
      <c r="D4" s="12">
        <v>15304</v>
      </c>
      <c r="E4" s="12">
        <f>'DR Threshold Analysis'!D4</f>
        <v>14303.34</v>
      </c>
      <c r="F4" t="str">
        <f>'DR Threshold Analysis'!AI4</f>
        <v>Rural</v>
      </c>
      <c r="G4" t="str">
        <f>'DR Threshold Analysis'!AK4</f>
        <v>Rural</v>
      </c>
      <c r="H4" t="str">
        <f>'DR Threshold Analysis'!AM4</f>
        <v>Rural</v>
      </c>
      <c r="J4" s="22"/>
      <c r="K4" s="22"/>
    </row>
    <row r="5" spans="2:16" x14ac:dyDescent="0.45">
      <c r="B5" s="1" t="s">
        <v>82</v>
      </c>
      <c r="C5" s="1" t="s">
        <v>83</v>
      </c>
      <c r="D5" s="12">
        <v>144229</v>
      </c>
      <c r="E5" s="12">
        <f>'DR Threshold Analysis'!D5</f>
        <v>137707.5</v>
      </c>
      <c r="F5" t="str">
        <f>'DR Threshold Analysis'!AI5</f>
        <v>Rural</v>
      </c>
      <c r="G5" t="str">
        <f>'DR Threshold Analysis'!AK5</f>
        <v>Rural</v>
      </c>
      <c r="H5" t="str">
        <f>'DR Threshold Analysis'!AM5</f>
        <v>Rural</v>
      </c>
      <c r="J5" s="22"/>
      <c r="K5" s="22"/>
    </row>
    <row r="6" spans="2:16" x14ac:dyDescent="0.45">
      <c r="B6" s="1" t="s">
        <v>85</v>
      </c>
      <c r="C6" s="1" t="s">
        <v>86</v>
      </c>
      <c r="D6" s="12">
        <v>77974</v>
      </c>
      <c r="E6" s="12">
        <f>'DR Threshold Analysis'!D6</f>
        <v>74334.09</v>
      </c>
      <c r="F6" t="str">
        <f>'DR Threshold Analysis'!AI6</f>
        <v>Rural</v>
      </c>
      <c r="G6" t="str">
        <f>'DR Threshold Analysis'!AK6</f>
        <v>Rural</v>
      </c>
      <c r="H6" t="str">
        <f>'DR Threshold Analysis'!AM6</f>
        <v>Rural</v>
      </c>
      <c r="J6" s="22"/>
      <c r="K6" s="22"/>
    </row>
    <row r="7" spans="2:16" x14ac:dyDescent="0.45">
      <c r="B7" s="1" t="s">
        <v>88</v>
      </c>
      <c r="C7" s="1" t="s">
        <v>89</v>
      </c>
      <c r="D7" s="12">
        <v>27656</v>
      </c>
      <c r="E7" s="12">
        <f>'DR Threshold Analysis'!D7</f>
        <v>26864.59</v>
      </c>
      <c r="F7" t="str">
        <f>'DR Threshold Analysis'!AI7</f>
        <v>Remote</v>
      </c>
      <c r="G7" t="str">
        <f>'DR Threshold Analysis'!AK7</f>
        <v>Remote</v>
      </c>
      <c r="H7" t="str">
        <f>'DR Threshold Analysis'!AM7</f>
        <v>Remote</v>
      </c>
      <c r="J7" s="22"/>
      <c r="K7" s="22"/>
    </row>
    <row r="8" spans="2:16" x14ac:dyDescent="0.45">
      <c r="B8" s="1" t="s">
        <v>91</v>
      </c>
      <c r="C8" s="1" t="s">
        <v>92</v>
      </c>
      <c r="D8" s="12">
        <v>95350</v>
      </c>
      <c r="E8" s="12">
        <f>'DR Threshold Analysis'!D8</f>
        <v>104131.95999999999</v>
      </c>
      <c r="F8" t="str">
        <f>'DR Threshold Analysis'!AI8</f>
        <v>Metro/Urban</v>
      </c>
      <c r="G8" t="str">
        <f>'DR Threshold Analysis'!AK8</f>
        <v>Metro/Urban</v>
      </c>
      <c r="H8" t="str">
        <f>'DR Threshold Analysis'!AM8</f>
        <v>Metro/Urban</v>
      </c>
      <c r="J8" s="22"/>
      <c r="K8" s="22"/>
    </row>
    <row r="9" spans="2:16" x14ac:dyDescent="0.45">
      <c r="B9" s="1" t="s">
        <v>94</v>
      </c>
      <c r="C9" s="1" t="s">
        <v>95</v>
      </c>
      <c r="D9" s="12">
        <v>47557</v>
      </c>
      <c r="E9" s="12">
        <f>'DR Threshold Analysis'!D9</f>
        <v>50199.03</v>
      </c>
      <c r="F9" t="str">
        <f>'DR Threshold Analysis'!AI9</f>
        <v>Rural</v>
      </c>
      <c r="G9" t="str">
        <f>'DR Threshold Analysis'!AK9</f>
        <v>Rural</v>
      </c>
      <c r="H9" t="str">
        <f>'DR Threshold Analysis'!AM9</f>
        <v>Rural</v>
      </c>
      <c r="J9" s="22"/>
      <c r="K9" s="22"/>
    </row>
    <row r="10" spans="2:16" x14ac:dyDescent="0.45">
      <c r="B10" s="1" t="s">
        <v>97</v>
      </c>
      <c r="C10" s="1" t="s">
        <v>98</v>
      </c>
      <c r="D10" s="12">
        <v>55609</v>
      </c>
      <c r="E10" s="12">
        <f>'DR Threshold Analysis'!D10</f>
        <v>55558.51</v>
      </c>
      <c r="F10" t="str">
        <f>'DR Threshold Analysis'!AI10</f>
        <v>Rural</v>
      </c>
      <c r="G10" t="str">
        <f>'DR Threshold Analysis'!AK10</f>
        <v>Rural</v>
      </c>
      <c r="H10" t="str">
        <f>'DR Threshold Analysis'!AM10</f>
        <v>Rural</v>
      </c>
      <c r="J10" s="22"/>
      <c r="K10" s="22"/>
    </row>
    <row r="11" spans="2:16" x14ac:dyDescent="0.45">
      <c r="B11" s="1" t="s">
        <v>100</v>
      </c>
      <c r="C11" s="1" t="s">
        <v>101</v>
      </c>
      <c r="D11" s="12">
        <v>139289</v>
      </c>
      <c r="E11" s="12">
        <f>'DR Threshold Analysis'!D11</f>
        <v>143860.30000000002</v>
      </c>
      <c r="F11" t="str">
        <f>'DR Threshold Analysis'!AI11</f>
        <v>Rural</v>
      </c>
      <c r="G11" t="str">
        <f>'DR Threshold Analysis'!AK11</f>
        <v>Rural</v>
      </c>
      <c r="H11" t="str">
        <f>'DR Threshold Analysis'!AM11</f>
        <v>Rural</v>
      </c>
      <c r="J11" s="22"/>
      <c r="K11" s="22"/>
    </row>
    <row r="12" spans="2:16" x14ac:dyDescent="0.45">
      <c r="B12" s="1" t="s">
        <v>3</v>
      </c>
      <c r="C12" s="1" t="s">
        <v>4</v>
      </c>
      <c r="D12" s="12">
        <v>435820</v>
      </c>
      <c r="E12" s="12">
        <f>'DR Threshold Analysis'!D12</f>
        <v>474931.83999999997</v>
      </c>
      <c r="F12" t="str">
        <f>'DR Threshold Analysis'!AI12</f>
        <v>Metro/Urban</v>
      </c>
      <c r="G12" t="str">
        <f>'DR Threshold Analysis'!AK12</f>
        <v>Metro/Urban</v>
      </c>
      <c r="H12" t="str">
        <f>'DR Threshold Analysis'!AM12</f>
        <v>Metro/Urban</v>
      </c>
      <c r="J12" s="22"/>
      <c r="K12" s="22"/>
    </row>
    <row r="13" spans="2:16" x14ac:dyDescent="0.45">
      <c r="B13" s="1" t="s">
        <v>103</v>
      </c>
      <c r="C13" s="1" t="s">
        <v>104</v>
      </c>
      <c r="D13" s="12">
        <v>56649</v>
      </c>
      <c r="E13" s="12">
        <f>'DR Threshold Analysis'!D13</f>
        <v>57465.43</v>
      </c>
      <c r="F13" t="str">
        <f>'DR Threshold Analysis'!AI13</f>
        <v>Rural</v>
      </c>
      <c r="G13" t="str">
        <f>'DR Threshold Analysis'!AK13</f>
        <v>Rural</v>
      </c>
      <c r="H13" t="str">
        <f>'DR Threshold Analysis'!AM13</f>
        <v>Rural</v>
      </c>
      <c r="J13" s="22"/>
      <c r="K13" s="22"/>
    </row>
    <row r="14" spans="2:16" x14ac:dyDescent="0.45">
      <c r="B14" s="1" t="s">
        <v>106</v>
      </c>
      <c r="C14" s="1" t="s">
        <v>107</v>
      </c>
      <c r="D14" s="12">
        <v>33373</v>
      </c>
      <c r="E14" s="12">
        <f>'DR Threshold Analysis'!D14</f>
        <v>34197.589999999997</v>
      </c>
      <c r="F14" t="str">
        <f>'DR Threshold Analysis'!AI14</f>
        <v>Rural</v>
      </c>
      <c r="G14" t="str">
        <f>'DR Threshold Analysis'!AK14</f>
        <v>Rural</v>
      </c>
      <c r="H14" t="str">
        <f>'DR Threshold Analysis'!AM14</f>
        <v>Rural</v>
      </c>
      <c r="J14" s="22"/>
      <c r="K14" s="22"/>
    </row>
    <row r="15" spans="2:16" x14ac:dyDescent="0.45">
      <c r="B15" s="1" t="s">
        <v>109</v>
      </c>
      <c r="C15" s="1" t="s">
        <v>110</v>
      </c>
      <c r="D15" s="12">
        <v>71445</v>
      </c>
      <c r="E15" s="12">
        <f>'DR Threshold Analysis'!D15</f>
        <v>71983.16</v>
      </c>
      <c r="F15" t="str">
        <f>'DR Threshold Analysis'!AI15</f>
        <v>Rural</v>
      </c>
      <c r="G15" t="str">
        <f>'DR Threshold Analysis'!AK15</f>
        <v>Rural</v>
      </c>
      <c r="H15" t="str">
        <f>'DR Threshold Analysis'!AM15</f>
        <v>Rural</v>
      </c>
      <c r="J15" s="22"/>
      <c r="K15" s="22"/>
    </row>
    <row r="16" spans="2:16" x14ac:dyDescent="0.45">
      <c r="B16" s="1" t="s">
        <v>112</v>
      </c>
      <c r="C16" s="1" t="s">
        <v>113</v>
      </c>
      <c r="D16" s="12">
        <v>131379</v>
      </c>
      <c r="E16" s="12">
        <f>'DR Threshold Analysis'!D16</f>
        <v>131343.37</v>
      </c>
      <c r="F16" t="str">
        <f>'DR Threshold Analysis'!AI16</f>
        <v>Rural</v>
      </c>
      <c r="G16" t="str">
        <f>'DR Threshold Analysis'!AK16</f>
        <v>Rural</v>
      </c>
      <c r="H16" t="str">
        <f>'DR Threshold Analysis'!AM16</f>
        <v>Rural</v>
      </c>
      <c r="J16" s="22"/>
      <c r="K16" s="22"/>
    </row>
    <row r="17" spans="2:16" x14ac:dyDescent="0.45">
      <c r="B17" s="1" t="s">
        <v>115</v>
      </c>
      <c r="C17" s="1" t="s">
        <v>116</v>
      </c>
      <c r="D17" s="12">
        <v>142898</v>
      </c>
      <c r="E17" s="12">
        <f>'DR Threshold Analysis'!D17</f>
        <v>147694.56</v>
      </c>
      <c r="F17" t="str">
        <f>'DR Threshold Analysis'!AI17</f>
        <v>Metro/Urban</v>
      </c>
      <c r="G17" t="str">
        <f>'DR Threshold Analysis'!AK17</f>
        <v>Metro/Urban</v>
      </c>
      <c r="H17" t="str">
        <f>'DR Threshold Analysis'!AM17</f>
        <v>Metro/Urban</v>
      </c>
      <c r="J17" s="22"/>
      <c r="K17" s="22"/>
    </row>
    <row r="18" spans="2:16" x14ac:dyDescent="0.45">
      <c r="B18" s="1" t="s">
        <v>118</v>
      </c>
      <c r="C18" s="1" t="s">
        <v>119</v>
      </c>
      <c r="D18" s="12">
        <v>25087</v>
      </c>
      <c r="E18" s="12">
        <f>'DR Threshold Analysis'!D18</f>
        <v>25641.850000000002</v>
      </c>
      <c r="F18" t="str">
        <f>'DR Threshold Analysis'!AI18</f>
        <v>Rural</v>
      </c>
      <c r="G18" t="str">
        <f>'DR Threshold Analysis'!AK18</f>
        <v>Rural</v>
      </c>
      <c r="H18" t="str">
        <f>'DR Threshold Analysis'!AM18</f>
        <v>Rural</v>
      </c>
      <c r="J18" s="22"/>
      <c r="K18" s="22"/>
    </row>
    <row r="19" spans="2:16" x14ac:dyDescent="0.45">
      <c r="B19" s="1" t="s">
        <v>121</v>
      </c>
      <c r="C19" s="1" t="s">
        <v>122</v>
      </c>
      <c r="D19" s="12">
        <v>164871</v>
      </c>
      <c r="E19" s="12">
        <f>'DR Threshold Analysis'!D19</f>
        <v>171650.38</v>
      </c>
      <c r="F19" t="str">
        <f>'DR Threshold Analysis'!AI19</f>
        <v>Metro/Urban</v>
      </c>
      <c r="G19" s="22" t="str">
        <f>'DR Threshold Analysis'!AK19</f>
        <v>Metro/Urban</v>
      </c>
      <c r="H19" s="20" t="str">
        <f>'DR Threshold Analysis'!AM19</f>
        <v>Mix</v>
      </c>
      <c r="J19" s="24"/>
      <c r="K19" s="24"/>
      <c r="L19" s="11">
        <v>8328.8680000000022</v>
      </c>
      <c r="M19" s="19">
        <v>10.818254343281684</v>
      </c>
      <c r="P19" t="s">
        <v>555</v>
      </c>
    </row>
    <row r="20" spans="2:16" x14ac:dyDescent="0.45">
      <c r="B20" s="1" t="s">
        <v>6</v>
      </c>
      <c r="C20" s="1" t="s">
        <v>7</v>
      </c>
      <c r="D20" s="12">
        <v>178500</v>
      </c>
      <c r="E20" s="12">
        <f>'DR Threshold Analysis'!D20</f>
        <v>194002.19999999998</v>
      </c>
      <c r="F20" t="str">
        <f>'DR Threshold Analysis'!AI20</f>
        <v>Metro/Urban</v>
      </c>
      <c r="G20" t="str">
        <f>'DR Threshold Analysis'!AK20</f>
        <v>Metro/Urban</v>
      </c>
      <c r="H20" t="str">
        <f>'DR Threshold Analysis'!AM20</f>
        <v>Metro/Urban</v>
      </c>
      <c r="J20" s="22"/>
      <c r="K20" s="22"/>
    </row>
    <row r="21" spans="2:16" x14ac:dyDescent="0.45">
      <c r="B21" s="1" t="s">
        <v>124</v>
      </c>
      <c r="C21" s="1" t="s">
        <v>125</v>
      </c>
      <c r="D21" s="12">
        <v>156025</v>
      </c>
      <c r="E21" s="12">
        <f>'DR Threshold Analysis'!D21</f>
        <v>157384.33000000002</v>
      </c>
      <c r="F21" t="str">
        <f>'DR Threshold Analysis'!AI21</f>
        <v>Rural</v>
      </c>
      <c r="G21" t="str">
        <f>'DR Threshold Analysis'!AK21</f>
        <v>Rural</v>
      </c>
      <c r="H21" t="str">
        <f>'DR Threshold Analysis'!AM21</f>
        <v>Rural</v>
      </c>
      <c r="J21" s="22"/>
      <c r="K21" s="22"/>
    </row>
    <row r="22" spans="2:16" x14ac:dyDescent="0.45">
      <c r="B22" s="1" t="s">
        <v>127</v>
      </c>
      <c r="C22" s="1" t="s">
        <v>128</v>
      </c>
      <c r="D22" s="12">
        <v>24936</v>
      </c>
      <c r="E22" s="12">
        <f>'DR Threshold Analysis'!D22</f>
        <v>24315.39</v>
      </c>
      <c r="F22" t="str">
        <f>'DR Threshold Analysis'!AI22</f>
        <v>Rural</v>
      </c>
      <c r="G22" t="str">
        <f>'DR Threshold Analysis'!AK22</f>
        <v>Rural</v>
      </c>
      <c r="H22" t="str">
        <f>'DR Threshold Analysis'!AM22</f>
        <v>Rural</v>
      </c>
      <c r="J22" s="22"/>
      <c r="K22" s="22"/>
    </row>
    <row r="23" spans="2:16" x14ac:dyDescent="0.45">
      <c r="B23" s="1" t="s">
        <v>130</v>
      </c>
      <c r="C23" s="1" t="s">
        <v>131</v>
      </c>
      <c r="D23" s="12">
        <v>26504</v>
      </c>
      <c r="E23" s="12">
        <f>'DR Threshold Analysis'!D23</f>
        <v>26685.660000000003</v>
      </c>
      <c r="F23" t="str">
        <f>'DR Threshold Analysis'!AI23</f>
        <v>Rural</v>
      </c>
      <c r="G23" t="str">
        <f>'DR Threshold Analysis'!AK23</f>
        <v>Rural</v>
      </c>
      <c r="H23" t="str">
        <f>'DR Threshold Analysis'!AM23</f>
        <v>Rural</v>
      </c>
      <c r="J23" s="22"/>
      <c r="K23" s="22"/>
    </row>
    <row r="24" spans="2:16" x14ac:dyDescent="0.45">
      <c r="B24" s="1" t="s">
        <v>133</v>
      </c>
      <c r="C24" s="1" t="s">
        <v>134</v>
      </c>
      <c r="D24" s="12">
        <v>26776</v>
      </c>
      <c r="E24" s="12">
        <f>'DR Threshold Analysis'!D24</f>
        <v>26052.67</v>
      </c>
      <c r="F24" t="str">
        <f>'DR Threshold Analysis'!AI24</f>
        <v>Rural</v>
      </c>
      <c r="G24" t="str">
        <f>'DR Threshold Analysis'!AK24</f>
        <v>Rural</v>
      </c>
      <c r="H24" t="str">
        <f>'DR Threshold Analysis'!AM24</f>
        <v>Rural</v>
      </c>
      <c r="J24" s="22"/>
      <c r="K24" s="22"/>
    </row>
    <row r="25" spans="2:16" x14ac:dyDescent="0.45">
      <c r="B25" s="1" t="s">
        <v>136</v>
      </c>
      <c r="C25" s="1" t="s">
        <v>137</v>
      </c>
      <c r="D25" s="12">
        <v>112039</v>
      </c>
      <c r="E25" s="12">
        <f>'DR Threshold Analysis'!D25</f>
        <v>111242.45000000001</v>
      </c>
      <c r="F25" t="str">
        <f>'DR Threshold Analysis'!AI25</f>
        <v>Rural</v>
      </c>
      <c r="G25" t="str">
        <f>'DR Threshold Analysis'!AK25</f>
        <v>Rural</v>
      </c>
      <c r="H25" t="str">
        <f>'DR Threshold Analysis'!AM25</f>
        <v>Rural</v>
      </c>
      <c r="J25" s="22"/>
      <c r="K25" s="22"/>
    </row>
    <row r="26" spans="2:16" x14ac:dyDescent="0.45">
      <c r="B26" s="1" t="s">
        <v>139</v>
      </c>
      <c r="C26" s="1" t="s">
        <v>140</v>
      </c>
      <c r="D26" s="12">
        <v>37788</v>
      </c>
      <c r="E26" s="12">
        <f>'DR Threshold Analysis'!D26</f>
        <v>37612.68</v>
      </c>
      <c r="F26" t="str">
        <f>'DR Threshold Analysis'!AI26</f>
        <v>Rural</v>
      </c>
      <c r="G26" t="str">
        <f>'DR Threshold Analysis'!AK26</f>
        <v>Rural</v>
      </c>
      <c r="H26" t="str">
        <f>'DR Threshold Analysis'!AM26</f>
        <v>Rural</v>
      </c>
      <c r="J26" s="22"/>
      <c r="K26" s="22"/>
    </row>
    <row r="27" spans="2:16" x14ac:dyDescent="0.45">
      <c r="B27" s="1" t="s">
        <v>142</v>
      </c>
      <c r="C27" s="1" t="s">
        <v>143</v>
      </c>
      <c r="D27" s="12">
        <v>56619</v>
      </c>
      <c r="E27" s="12">
        <f>'DR Threshold Analysis'!D27</f>
        <v>57190.86</v>
      </c>
      <c r="F27" t="str">
        <f>'DR Threshold Analysis'!AI27</f>
        <v>Metro/Urban</v>
      </c>
      <c r="G27" t="str">
        <f>'DR Threshold Analysis'!AK27</f>
        <v>Metro/Urban</v>
      </c>
      <c r="H27" t="str">
        <f>'DR Threshold Analysis'!AM27</f>
        <v>Metro/Urban</v>
      </c>
      <c r="J27" s="22"/>
      <c r="K27" s="22"/>
    </row>
    <row r="28" spans="2:16" x14ac:dyDescent="0.45">
      <c r="B28" s="1" t="s">
        <v>145</v>
      </c>
      <c r="C28" s="1" t="s">
        <v>146</v>
      </c>
      <c r="D28" s="12">
        <v>82869</v>
      </c>
      <c r="E28" s="12">
        <f>'DR Threshold Analysis'!D28</f>
        <v>84581.63</v>
      </c>
      <c r="F28" t="str">
        <f>'DR Threshold Analysis'!AI28</f>
        <v>Rural</v>
      </c>
      <c r="G28" t="str">
        <f>'DR Threshold Analysis'!AK28</f>
        <v>Rural</v>
      </c>
      <c r="H28" t="str">
        <f>'DR Threshold Analysis'!AM28</f>
        <v>Rural</v>
      </c>
      <c r="J28" s="22"/>
      <c r="K28" s="22"/>
    </row>
    <row r="29" spans="2:16" x14ac:dyDescent="0.45">
      <c r="B29" s="1" t="s">
        <v>148</v>
      </c>
      <c r="C29" s="1" t="s">
        <v>149</v>
      </c>
      <c r="D29" s="12">
        <v>28193</v>
      </c>
      <c r="E29" s="12">
        <f>'DR Threshold Analysis'!D29</f>
        <v>28507.84</v>
      </c>
      <c r="F29" t="str">
        <f>'DR Threshold Analysis'!AI29</f>
        <v>Rural</v>
      </c>
      <c r="G29" t="str">
        <f>'DR Threshold Analysis'!AK29</f>
        <v>Rural</v>
      </c>
      <c r="H29" t="str">
        <f>'DR Threshold Analysis'!AM29</f>
        <v>Rural</v>
      </c>
      <c r="J29" s="22"/>
      <c r="K29" s="22"/>
    </row>
    <row r="30" spans="2:16" x14ac:dyDescent="0.45">
      <c r="B30" s="1" t="s">
        <v>9</v>
      </c>
      <c r="C30" s="1" t="s">
        <v>10</v>
      </c>
      <c r="D30" s="12">
        <v>218377</v>
      </c>
      <c r="E30" s="12">
        <f>'DR Threshold Analysis'!D30</f>
        <v>218307.6</v>
      </c>
      <c r="F30" t="str">
        <f>'DR Threshold Analysis'!AI30</f>
        <v>Metro/Urban</v>
      </c>
      <c r="G30" s="22" t="str">
        <f>'DR Threshold Analysis'!AK30</f>
        <v>Metro/Urban</v>
      </c>
      <c r="H30" s="20" t="str">
        <f>'DR Threshold Analysis'!AM30</f>
        <v>Mix</v>
      </c>
      <c r="J30" s="24"/>
      <c r="K30" s="24"/>
      <c r="L30" s="11">
        <v>26066.950000000012</v>
      </c>
      <c r="M30" s="19">
        <v>28.470040650188967</v>
      </c>
      <c r="P30" t="s">
        <v>556</v>
      </c>
    </row>
    <row r="31" spans="2:16" x14ac:dyDescent="0.45">
      <c r="B31" s="1" t="s">
        <v>151</v>
      </c>
      <c r="C31" s="1" t="s">
        <v>152</v>
      </c>
      <c r="D31" s="12">
        <v>56808</v>
      </c>
      <c r="E31" s="12">
        <f>'DR Threshold Analysis'!D31</f>
        <v>56207.199999999997</v>
      </c>
      <c r="F31" t="str">
        <f>'DR Threshold Analysis'!AI31</f>
        <v>Rural</v>
      </c>
      <c r="G31" t="str">
        <f>'DR Threshold Analysis'!AK31</f>
        <v>Rural</v>
      </c>
      <c r="H31" t="str">
        <f>'DR Threshold Analysis'!AM31</f>
        <v>Rural</v>
      </c>
      <c r="J31" s="22"/>
      <c r="K31" s="22"/>
    </row>
    <row r="32" spans="2:16" x14ac:dyDescent="0.45">
      <c r="B32" s="1" t="s">
        <v>12</v>
      </c>
      <c r="C32" s="1" t="s">
        <v>13</v>
      </c>
      <c r="D32" s="12">
        <v>904330</v>
      </c>
      <c r="E32" s="12">
        <f>'DR Threshold Analysis'!D32</f>
        <v>942192.61</v>
      </c>
      <c r="F32" t="str">
        <f>'DR Threshold Analysis'!AI32</f>
        <v>Metro/Urban</v>
      </c>
      <c r="G32" t="str">
        <f>'DR Threshold Analysis'!AK32</f>
        <v>Metro/Urban</v>
      </c>
      <c r="H32" t="str">
        <f>'DR Threshold Analysis'!AM32</f>
        <v>Metro/Urban</v>
      </c>
      <c r="J32" s="22"/>
      <c r="K32" s="22"/>
    </row>
    <row r="33" spans="2:16" x14ac:dyDescent="0.45">
      <c r="B33" s="1" t="s">
        <v>154</v>
      </c>
      <c r="C33" s="1" t="s">
        <v>155</v>
      </c>
      <c r="D33" s="12">
        <v>53258</v>
      </c>
      <c r="E33" s="12">
        <f>'DR Threshold Analysis'!D33</f>
        <v>54962.76</v>
      </c>
      <c r="F33" t="str">
        <f>'DR Threshold Analysis'!AI33</f>
        <v>Rural</v>
      </c>
      <c r="G33" t="str">
        <f>'DR Threshold Analysis'!AK33</f>
        <v>Rural</v>
      </c>
      <c r="H33" t="str">
        <f>'DR Threshold Analysis'!AM33</f>
        <v>Rural</v>
      </c>
      <c r="J33" s="22"/>
      <c r="K33" s="22"/>
    </row>
    <row r="34" spans="2:16" x14ac:dyDescent="0.45">
      <c r="B34" s="1" t="s">
        <v>157</v>
      </c>
      <c r="C34" s="1" t="s">
        <v>158</v>
      </c>
      <c r="D34" s="12">
        <v>71425</v>
      </c>
      <c r="E34" s="12">
        <f>'DR Threshold Analysis'!D34</f>
        <v>72535.13</v>
      </c>
      <c r="F34" t="str">
        <f>'DR Threshold Analysis'!AI34</f>
        <v>Rural</v>
      </c>
      <c r="G34" t="str">
        <f>'DR Threshold Analysis'!AK34</f>
        <v>Rural</v>
      </c>
      <c r="H34" t="str">
        <f>'DR Threshold Analysis'!AM34</f>
        <v>Rural</v>
      </c>
      <c r="J34" s="22"/>
      <c r="K34" s="22"/>
    </row>
    <row r="35" spans="2:16" x14ac:dyDescent="0.45">
      <c r="B35" s="1" t="s">
        <v>160</v>
      </c>
      <c r="C35" s="1" t="s">
        <v>161</v>
      </c>
      <c r="D35" s="12">
        <v>24223</v>
      </c>
      <c r="E35" s="12">
        <f>'DR Threshold Analysis'!D35</f>
        <v>24584.22</v>
      </c>
      <c r="F35" t="str">
        <f>'DR Threshold Analysis'!AI35</f>
        <v>Rural</v>
      </c>
      <c r="G35" t="str">
        <f>'DR Threshold Analysis'!AK35</f>
        <v>Rural</v>
      </c>
      <c r="H35" t="str">
        <f>'DR Threshold Analysis'!AM35</f>
        <v>Rural</v>
      </c>
      <c r="J35" s="22"/>
      <c r="K35" s="22"/>
    </row>
    <row r="36" spans="2:16" x14ac:dyDescent="0.45">
      <c r="B36" s="1" t="s">
        <v>163</v>
      </c>
      <c r="C36" s="1" t="s">
        <v>164</v>
      </c>
      <c r="D36" s="12">
        <v>42019</v>
      </c>
      <c r="E36" s="12">
        <f>'DR Threshold Analysis'!D36</f>
        <v>43000.79</v>
      </c>
      <c r="F36" t="str">
        <f>'DR Threshold Analysis'!AI36</f>
        <v>Rural</v>
      </c>
      <c r="G36" t="str">
        <f>'DR Threshold Analysis'!AK36</f>
        <v>Rural</v>
      </c>
      <c r="H36" t="str">
        <f>'DR Threshold Analysis'!AM36</f>
        <v>Rural</v>
      </c>
      <c r="J36" s="22"/>
      <c r="K36" s="22"/>
    </row>
    <row r="37" spans="2:16" x14ac:dyDescent="0.45">
      <c r="B37" s="1" t="s">
        <v>166</v>
      </c>
      <c r="C37" s="1" t="s">
        <v>167</v>
      </c>
      <c r="D37" s="12">
        <v>22772</v>
      </c>
      <c r="E37" s="12">
        <f>'DR Threshold Analysis'!D37</f>
        <v>23054.36</v>
      </c>
      <c r="F37" t="str">
        <f>'DR Threshold Analysis'!AI37</f>
        <v>Metro/Urban</v>
      </c>
      <c r="G37" t="str">
        <f>'DR Threshold Analysis'!AK37</f>
        <v>Metro/Urban</v>
      </c>
      <c r="H37" t="str">
        <f>'DR Threshold Analysis'!AM37</f>
        <v>Metro/Urban</v>
      </c>
      <c r="J37" s="22"/>
      <c r="K37" s="22"/>
    </row>
    <row r="38" spans="2:16" x14ac:dyDescent="0.45">
      <c r="B38" s="1" t="s">
        <v>169</v>
      </c>
      <c r="C38" s="1" t="s">
        <v>170</v>
      </c>
      <c r="D38" s="12">
        <v>16219</v>
      </c>
      <c r="E38" s="12">
        <f>'DR Threshold Analysis'!D38</f>
        <v>16376.010000000002</v>
      </c>
      <c r="F38" t="str">
        <f>'DR Threshold Analysis'!AI38</f>
        <v>Rural</v>
      </c>
      <c r="G38" t="str">
        <f>'DR Threshold Analysis'!AK38</f>
        <v>Rural</v>
      </c>
      <c r="H38" t="str">
        <f>'DR Threshold Analysis'!AM38</f>
        <v>Rural</v>
      </c>
      <c r="J38" s="22"/>
      <c r="K38" s="22"/>
    </row>
    <row r="39" spans="2:16" x14ac:dyDescent="0.45">
      <c r="B39" s="1" t="s">
        <v>15</v>
      </c>
      <c r="C39" s="1" t="s">
        <v>16</v>
      </c>
      <c r="D39" s="12">
        <v>265152</v>
      </c>
      <c r="E39" s="12">
        <f>'DR Threshold Analysis'!D39</f>
        <v>272644.09999999998</v>
      </c>
      <c r="F39" t="str">
        <f>'DR Threshold Analysis'!AI39</f>
        <v>Metro/Urban</v>
      </c>
      <c r="G39" t="str">
        <f>'DR Threshold Analysis'!AK39</f>
        <v>Metro/Urban</v>
      </c>
      <c r="H39" t="str">
        <f>'DR Threshold Analysis'!AM39</f>
        <v>Metro/Urban</v>
      </c>
      <c r="J39" s="22"/>
      <c r="K39" s="22"/>
    </row>
    <row r="40" spans="2:16" x14ac:dyDescent="0.45">
      <c r="B40" s="1" t="s">
        <v>172</v>
      </c>
      <c r="C40" s="1" t="s">
        <v>173</v>
      </c>
      <c r="D40" s="12">
        <v>21708</v>
      </c>
      <c r="E40" s="12">
        <f>'DR Threshold Analysis'!D40</f>
        <v>22170.19</v>
      </c>
      <c r="F40" t="str">
        <f>'DR Threshold Analysis'!AI40</f>
        <v>Rural</v>
      </c>
      <c r="G40" t="str">
        <f>'DR Threshold Analysis'!AK40</f>
        <v>Rural</v>
      </c>
      <c r="H40" t="str">
        <f>'DR Threshold Analysis'!AM40</f>
        <v>Rural</v>
      </c>
      <c r="J40" s="22"/>
      <c r="K40" s="22"/>
    </row>
    <row r="41" spans="2:16" x14ac:dyDescent="0.45">
      <c r="B41" s="1" t="s">
        <v>175</v>
      </c>
      <c r="C41" s="1" t="s">
        <v>176</v>
      </c>
      <c r="D41" s="12">
        <v>29744</v>
      </c>
      <c r="E41" s="12">
        <f>'DR Threshold Analysis'!D41</f>
        <v>30262.42</v>
      </c>
      <c r="F41" t="str">
        <f>'DR Threshold Analysis'!AI41</f>
        <v>Rural</v>
      </c>
      <c r="G41" t="str">
        <f>'DR Threshold Analysis'!AK41</f>
        <v>Rural</v>
      </c>
      <c r="H41" t="str">
        <f>'DR Threshold Analysis'!AM41</f>
        <v>Rural</v>
      </c>
      <c r="J41" s="22"/>
      <c r="K41" s="22"/>
    </row>
    <row r="42" spans="2:16" x14ac:dyDescent="0.45">
      <c r="B42" s="1" t="s">
        <v>178</v>
      </c>
      <c r="C42" s="1" t="s">
        <v>179</v>
      </c>
      <c r="D42" s="12">
        <v>56684</v>
      </c>
      <c r="E42" s="12">
        <f>'DR Threshold Analysis'!D42</f>
        <v>58676.4</v>
      </c>
      <c r="F42" t="str">
        <f>'DR Threshold Analysis'!AI42</f>
        <v>Metro/Urban</v>
      </c>
      <c r="G42" t="str">
        <f>'DR Threshold Analysis'!AK42</f>
        <v>Metro/Urban</v>
      </c>
      <c r="H42" t="str">
        <f>'DR Threshold Analysis'!AM42</f>
        <v>Metro/Urban</v>
      </c>
      <c r="J42" s="22"/>
      <c r="K42" s="22"/>
    </row>
    <row r="43" spans="2:16" x14ac:dyDescent="0.45">
      <c r="B43" s="1" t="s">
        <v>181</v>
      </c>
      <c r="C43" s="1" t="s">
        <v>182</v>
      </c>
      <c r="D43" s="12">
        <v>12981</v>
      </c>
      <c r="E43" s="12">
        <f>'DR Threshold Analysis'!D43</f>
        <v>13002.8</v>
      </c>
      <c r="F43" t="str">
        <f>'DR Threshold Analysis'!AI43</f>
        <v>Rural</v>
      </c>
      <c r="G43" t="str">
        <f>'DR Threshold Analysis'!AK43</f>
        <v>Rural</v>
      </c>
      <c r="H43" t="str">
        <f>'DR Threshold Analysis'!AM43</f>
        <v>Rural</v>
      </c>
      <c r="J43" s="22"/>
      <c r="K43" s="22"/>
    </row>
    <row r="44" spans="2:16" x14ac:dyDescent="0.45">
      <c r="B44" s="1" t="s">
        <v>18</v>
      </c>
      <c r="C44" s="1" t="s">
        <v>19</v>
      </c>
      <c r="D44" s="12">
        <v>250227</v>
      </c>
      <c r="E44" s="12">
        <f>'DR Threshold Analysis'!D44</f>
        <v>268189.02</v>
      </c>
      <c r="F44" t="str">
        <f>'DR Threshold Analysis'!AI44</f>
        <v>Metro/Urban</v>
      </c>
      <c r="G44" s="22" t="str">
        <f>'DR Threshold Analysis'!AK44</f>
        <v>Metro/Urban</v>
      </c>
      <c r="H44" s="20" t="str">
        <f>'DR Threshold Analysis'!AM44</f>
        <v>Mix</v>
      </c>
      <c r="J44" s="24"/>
      <c r="K44" s="24"/>
      <c r="L44" s="11">
        <v>3895.3240000000224</v>
      </c>
      <c r="M44" s="19">
        <v>4.6179374699103537</v>
      </c>
      <c r="P44" t="s">
        <v>557</v>
      </c>
    </row>
    <row r="45" spans="2:16" x14ac:dyDescent="0.45">
      <c r="B45" s="1" t="s">
        <v>184</v>
      </c>
      <c r="C45" s="1" t="s">
        <v>185</v>
      </c>
      <c r="D45" s="12">
        <v>16777</v>
      </c>
      <c r="E45" s="12">
        <f>'DR Threshold Analysis'!D45</f>
        <v>16970.949999999997</v>
      </c>
      <c r="F45" t="str">
        <f>'DR Threshold Analysis'!AI45</f>
        <v>Rural</v>
      </c>
      <c r="G45" t="str">
        <f>'DR Threshold Analysis'!AK45</f>
        <v>Rural</v>
      </c>
      <c r="H45" t="str">
        <f>'DR Threshold Analysis'!AM45</f>
        <v>Rural</v>
      </c>
      <c r="J45" s="22"/>
      <c r="K45" s="22"/>
    </row>
    <row r="46" spans="2:16" x14ac:dyDescent="0.45">
      <c r="B46" s="1" t="s">
        <v>187</v>
      </c>
      <c r="C46" s="1" t="s">
        <v>188</v>
      </c>
      <c r="D46" s="12">
        <v>112390</v>
      </c>
      <c r="E46" s="12">
        <f>'DR Threshold Analysis'!D46</f>
        <v>117000.22</v>
      </c>
      <c r="F46" t="str">
        <f>'DR Threshold Analysis'!AI46</f>
        <v>Metro/Urban</v>
      </c>
      <c r="G46" t="str">
        <f>'DR Threshold Analysis'!AK46</f>
        <v>Metro/Urban</v>
      </c>
      <c r="H46" t="str">
        <f>'DR Threshold Analysis'!AM46</f>
        <v>Metro/Urban</v>
      </c>
      <c r="J46" s="22"/>
      <c r="K46" s="22"/>
    </row>
    <row r="47" spans="2:16" x14ac:dyDescent="0.45">
      <c r="B47" s="1" t="s">
        <v>190</v>
      </c>
      <c r="C47" s="1" t="s">
        <v>191</v>
      </c>
      <c r="D47" s="12">
        <v>29083</v>
      </c>
      <c r="E47" s="12">
        <f>'DR Threshold Analysis'!D47</f>
        <v>31701.120000000003</v>
      </c>
      <c r="F47" t="str">
        <f>'DR Threshold Analysis'!AI47</f>
        <v>Rural</v>
      </c>
      <c r="G47" t="str">
        <f>'DR Threshold Analysis'!AK47</f>
        <v>Rural</v>
      </c>
      <c r="H47" t="str">
        <f>'DR Threshold Analysis'!AM47</f>
        <v>Rural</v>
      </c>
      <c r="J47" s="22"/>
      <c r="K47" s="22"/>
    </row>
    <row r="48" spans="2:16" x14ac:dyDescent="0.45">
      <c r="B48" s="1" t="s">
        <v>193</v>
      </c>
      <c r="C48" s="1" t="s">
        <v>194</v>
      </c>
      <c r="D48" s="12">
        <v>29593</v>
      </c>
      <c r="E48" s="12">
        <f>'DR Threshold Analysis'!D48</f>
        <v>31715.160000000003</v>
      </c>
      <c r="F48" t="str">
        <f>'DR Threshold Analysis'!AI48</f>
        <v>Rural</v>
      </c>
      <c r="G48" t="str">
        <f>'DR Threshold Analysis'!AK48</f>
        <v>Rural</v>
      </c>
      <c r="H48" t="str">
        <f>'DR Threshold Analysis'!AM48</f>
        <v>Rural</v>
      </c>
      <c r="J48" s="22"/>
      <c r="K48" s="22"/>
    </row>
    <row r="49" spans="2:11" x14ac:dyDescent="0.45">
      <c r="B49" s="1" t="s">
        <v>196</v>
      </c>
      <c r="C49" s="1" t="s">
        <v>197</v>
      </c>
      <c r="D49" s="12">
        <v>105440</v>
      </c>
      <c r="E49" s="12">
        <f>'DR Threshold Analysis'!D49</f>
        <v>112254.74</v>
      </c>
      <c r="F49" t="str">
        <f>'DR Threshold Analysis'!AI49</f>
        <v>Metro/Urban</v>
      </c>
      <c r="G49" t="str">
        <f>'DR Threshold Analysis'!AK49</f>
        <v>Metro/Urban</v>
      </c>
      <c r="H49" t="str">
        <f>'DR Threshold Analysis'!AM49</f>
        <v>Metro/Urban</v>
      </c>
      <c r="J49" s="22"/>
      <c r="K49" s="22"/>
    </row>
    <row r="50" spans="2:11" x14ac:dyDescent="0.45">
      <c r="B50" s="1" t="s">
        <v>199</v>
      </c>
      <c r="C50" s="1" t="s">
        <v>200</v>
      </c>
      <c r="D50" s="12">
        <v>92092</v>
      </c>
      <c r="E50" s="12">
        <f>'DR Threshold Analysis'!D50</f>
        <v>94580.549999999988</v>
      </c>
      <c r="F50" t="str">
        <f>'DR Threshold Analysis'!AI50</f>
        <v>Metro/Urban</v>
      </c>
      <c r="G50" t="str">
        <f>'DR Threshold Analysis'!AK50</f>
        <v>Metro/Urban</v>
      </c>
      <c r="H50" t="str">
        <f>'DR Threshold Analysis'!AM50</f>
        <v>Metro/Urban</v>
      </c>
      <c r="J50" s="22"/>
      <c r="K50" s="22"/>
    </row>
    <row r="51" spans="2:11" x14ac:dyDescent="0.45">
      <c r="B51" s="1" t="s">
        <v>202</v>
      </c>
      <c r="C51" s="1" t="s">
        <v>203</v>
      </c>
      <c r="D51" s="12">
        <v>58740</v>
      </c>
      <c r="E51" s="12">
        <f>'DR Threshold Analysis'!D51</f>
        <v>60433.39</v>
      </c>
      <c r="F51" t="str">
        <f>'DR Threshold Analysis'!AI51</f>
        <v>Metro/Urban</v>
      </c>
      <c r="G51" t="str">
        <f>'DR Threshold Analysis'!AK51</f>
        <v>Metro/Urban</v>
      </c>
      <c r="H51" t="str">
        <f>'DR Threshold Analysis'!AM51</f>
        <v>Metro/Urban</v>
      </c>
      <c r="J51" s="22"/>
      <c r="K51" s="22"/>
    </row>
    <row r="52" spans="2:11" x14ac:dyDescent="0.45">
      <c r="B52" s="1" t="s">
        <v>205</v>
      </c>
      <c r="C52" s="1" t="s">
        <v>206</v>
      </c>
      <c r="D52" s="12">
        <v>161106</v>
      </c>
      <c r="E52" s="12">
        <f>'DR Threshold Analysis'!D52</f>
        <v>172774.17</v>
      </c>
      <c r="F52" t="str">
        <f>'DR Threshold Analysis'!AI52</f>
        <v>Metro/Urban</v>
      </c>
      <c r="G52" t="str">
        <f>'DR Threshold Analysis'!AK52</f>
        <v>Metro/Urban</v>
      </c>
      <c r="H52" t="str">
        <f>'DR Threshold Analysis'!AM52</f>
        <v>Metro/Urban</v>
      </c>
      <c r="J52" s="22"/>
      <c r="K52" s="22"/>
    </row>
    <row r="53" spans="2:11" x14ac:dyDescent="0.45">
      <c r="B53" s="1" t="s">
        <v>21</v>
      </c>
      <c r="C53" s="1" t="s">
        <v>22</v>
      </c>
      <c r="D53" s="12">
        <v>4352037</v>
      </c>
      <c r="E53" s="12">
        <f>'DR Threshold Analysis'!D53</f>
        <v>4556508.22</v>
      </c>
      <c r="F53" t="str">
        <f>'DR Threshold Analysis'!AI53</f>
        <v>Metro/Urban</v>
      </c>
      <c r="G53" t="str">
        <f>'DR Threshold Analysis'!AK53</f>
        <v>Metro/Urban</v>
      </c>
      <c r="H53" t="str">
        <f>'DR Threshold Analysis'!AM53</f>
        <v>Metro/Urban</v>
      </c>
      <c r="J53" s="22"/>
      <c r="K53" s="22"/>
    </row>
    <row r="54" spans="2:11" x14ac:dyDescent="0.45">
      <c r="B54" s="1" t="s">
        <v>208</v>
      </c>
      <c r="C54" s="1" t="s">
        <v>209</v>
      </c>
      <c r="D54" s="12">
        <v>77087</v>
      </c>
      <c r="E54" s="12">
        <f>'DR Threshold Analysis'!D54</f>
        <v>86008.840000000011</v>
      </c>
      <c r="F54" t="str">
        <f>'DR Threshold Analysis'!AI54</f>
        <v>Rural</v>
      </c>
      <c r="G54" t="str">
        <f>'DR Threshold Analysis'!AK54</f>
        <v>Rural</v>
      </c>
      <c r="H54" t="str">
        <f>'DR Threshold Analysis'!AM54</f>
        <v>Rural</v>
      </c>
      <c r="J54" s="22"/>
      <c r="K54" s="22"/>
    </row>
    <row r="55" spans="2:11" x14ac:dyDescent="0.45">
      <c r="B55" s="1" t="s">
        <v>211</v>
      </c>
      <c r="C55" s="1" t="s">
        <v>212</v>
      </c>
      <c r="D55" s="12">
        <v>64131</v>
      </c>
      <c r="E55" s="12">
        <f>'DR Threshold Analysis'!D55</f>
        <v>64928.779999999992</v>
      </c>
      <c r="F55" t="str">
        <f>'DR Threshold Analysis'!AI55</f>
        <v>Rural</v>
      </c>
      <c r="G55" t="str">
        <f>'DR Threshold Analysis'!AK55</f>
        <v>Rural</v>
      </c>
      <c r="H55" t="str">
        <f>'DR Threshold Analysis'!AM55</f>
        <v>Rural</v>
      </c>
      <c r="J55" s="22"/>
      <c r="K55" s="22"/>
    </row>
    <row r="56" spans="2:11" x14ac:dyDescent="0.45">
      <c r="B56" s="1" t="s">
        <v>214</v>
      </c>
      <c r="C56" s="1" t="s">
        <v>215</v>
      </c>
      <c r="D56" s="12">
        <v>48488</v>
      </c>
      <c r="E56" s="12">
        <f>'DR Threshold Analysis'!D56</f>
        <v>49819.24</v>
      </c>
      <c r="F56" t="str">
        <f>'DR Threshold Analysis'!AI56</f>
        <v>Rural</v>
      </c>
      <c r="G56" t="str">
        <f>'DR Threshold Analysis'!AK56</f>
        <v>Rural</v>
      </c>
      <c r="H56" t="str">
        <f>'DR Threshold Analysis'!AM56</f>
        <v>Rural</v>
      </c>
      <c r="J56" s="22"/>
      <c r="K56" s="22"/>
    </row>
    <row r="57" spans="2:11" x14ac:dyDescent="0.45">
      <c r="B57" s="1" t="s">
        <v>24</v>
      </c>
      <c r="C57" s="1" t="s">
        <v>25</v>
      </c>
      <c r="D57" s="12">
        <v>1452852</v>
      </c>
      <c r="E57" s="12">
        <f>'DR Threshold Analysis'!D57</f>
        <v>1573914.45</v>
      </c>
      <c r="F57" t="str">
        <f>'DR Threshold Analysis'!AI57</f>
        <v>Metro/Urban</v>
      </c>
      <c r="G57" t="str">
        <f>'DR Threshold Analysis'!AK57</f>
        <v>Metro/Urban</v>
      </c>
      <c r="H57" t="str">
        <f>'DR Threshold Analysis'!AM57</f>
        <v>Metro/Urban</v>
      </c>
      <c r="J57" s="22"/>
      <c r="K57" s="22"/>
    </row>
    <row r="58" spans="2:11" x14ac:dyDescent="0.45">
      <c r="B58" s="1" t="s">
        <v>217</v>
      </c>
      <c r="C58" s="1" t="s">
        <v>218</v>
      </c>
      <c r="D58" s="12">
        <v>82200</v>
      </c>
      <c r="E58" s="12">
        <f>'DR Threshold Analysis'!D58</f>
        <v>84474.55</v>
      </c>
      <c r="F58" t="str">
        <f>'DR Threshold Analysis'!AI58</f>
        <v>Rural</v>
      </c>
      <c r="G58" t="str">
        <f>'DR Threshold Analysis'!AK58</f>
        <v>Rural</v>
      </c>
      <c r="H58" t="str">
        <f>'DR Threshold Analysis'!AM58</f>
        <v>Rural</v>
      </c>
      <c r="J58" s="22"/>
      <c r="K58" s="22"/>
    </row>
    <row r="59" spans="2:11" x14ac:dyDescent="0.45">
      <c r="B59" s="1" t="s">
        <v>220</v>
      </c>
      <c r="C59" s="1" t="s">
        <v>221</v>
      </c>
      <c r="D59" s="12">
        <v>31367</v>
      </c>
      <c r="E59" s="12">
        <f>'DR Threshold Analysis'!D59</f>
        <v>33417.86</v>
      </c>
      <c r="F59" t="str">
        <f>'DR Threshold Analysis'!AI59</f>
        <v>Rural</v>
      </c>
      <c r="G59" t="str">
        <f>'DR Threshold Analysis'!AK59</f>
        <v>Rural</v>
      </c>
      <c r="H59" t="str">
        <f>'DR Threshold Analysis'!AM59</f>
        <v>Rural</v>
      </c>
      <c r="J59" s="22"/>
      <c r="K59" s="22"/>
    </row>
    <row r="60" spans="2:11" x14ac:dyDescent="0.45">
      <c r="B60" s="1" t="s">
        <v>223</v>
      </c>
      <c r="C60" s="1" t="s">
        <v>224</v>
      </c>
      <c r="D60" s="12">
        <v>43108</v>
      </c>
      <c r="E60" s="12">
        <f>'DR Threshold Analysis'!D60</f>
        <v>43178.87</v>
      </c>
      <c r="F60" t="str">
        <f>'DR Threshold Analysis'!AI60</f>
        <v>Rural</v>
      </c>
      <c r="G60" t="str">
        <f>'DR Threshold Analysis'!AK60</f>
        <v>Rural</v>
      </c>
      <c r="H60" t="str">
        <f>'DR Threshold Analysis'!AM60</f>
        <v>Rural</v>
      </c>
      <c r="J60" s="22"/>
      <c r="K60" s="22"/>
    </row>
    <row r="61" spans="2:11" x14ac:dyDescent="0.45">
      <c r="B61" s="1" t="s">
        <v>226</v>
      </c>
      <c r="C61" s="1" t="s">
        <v>227</v>
      </c>
      <c r="D61" s="12">
        <v>16023</v>
      </c>
      <c r="E61" s="12">
        <f>'DR Threshold Analysis'!D61</f>
        <v>16177.18</v>
      </c>
      <c r="F61" t="str">
        <f>'DR Threshold Analysis'!AI61</f>
        <v>Rural</v>
      </c>
      <c r="G61" t="str">
        <f>'DR Threshold Analysis'!AK61</f>
        <v>Rural</v>
      </c>
      <c r="H61" t="str">
        <f>'DR Threshold Analysis'!AM61</f>
        <v>Rural</v>
      </c>
      <c r="J61" s="22"/>
      <c r="K61" s="22"/>
    </row>
    <row r="62" spans="2:11" x14ac:dyDescent="0.45">
      <c r="B62" s="1" t="s">
        <v>229</v>
      </c>
      <c r="C62" s="1" t="s">
        <v>230</v>
      </c>
      <c r="D62" s="12">
        <v>19349</v>
      </c>
      <c r="E62" s="12">
        <f>'DR Threshold Analysis'!D62</f>
        <v>19267.38</v>
      </c>
      <c r="F62" t="str">
        <f>'DR Threshold Analysis'!AI62</f>
        <v>Rural</v>
      </c>
      <c r="G62" t="str">
        <f>'DR Threshold Analysis'!AK62</f>
        <v>Rural</v>
      </c>
      <c r="H62" t="str">
        <f>'DR Threshold Analysis'!AM62</f>
        <v>Rural</v>
      </c>
      <c r="J62" s="22"/>
      <c r="K62" s="22"/>
    </row>
    <row r="63" spans="2:11" x14ac:dyDescent="0.45">
      <c r="B63" s="1" t="s">
        <v>232</v>
      </c>
      <c r="C63" s="1" t="s">
        <v>233</v>
      </c>
      <c r="D63" s="12">
        <v>25096</v>
      </c>
      <c r="E63" s="12">
        <f>'DR Threshold Analysis'!D63</f>
        <v>25208.73</v>
      </c>
      <c r="F63" t="str">
        <f>'DR Threshold Analysis'!AI63</f>
        <v>Rural</v>
      </c>
      <c r="G63" t="str">
        <f>'DR Threshold Analysis'!AK63</f>
        <v>Rural</v>
      </c>
      <c r="H63" t="str">
        <f>'DR Threshold Analysis'!AM63</f>
        <v>Rural</v>
      </c>
      <c r="J63" s="22"/>
      <c r="K63" s="22"/>
    </row>
    <row r="64" spans="2:11" x14ac:dyDescent="0.45">
      <c r="B64" s="1" t="s">
        <v>235</v>
      </c>
      <c r="C64" s="1" t="s">
        <v>236</v>
      </c>
      <c r="D64" s="12">
        <v>44619</v>
      </c>
      <c r="E64" s="12">
        <f>'DR Threshold Analysis'!D64</f>
        <v>44812.659999999996</v>
      </c>
      <c r="F64" t="str">
        <f>'DR Threshold Analysis'!AI64</f>
        <v>Rural</v>
      </c>
      <c r="G64" t="str">
        <f>'DR Threshold Analysis'!AK64</f>
        <v>Rural</v>
      </c>
      <c r="H64" t="str">
        <f>'DR Threshold Analysis'!AM64</f>
        <v>Rural</v>
      </c>
      <c r="J64" s="22"/>
      <c r="K64" s="22"/>
    </row>
    <row r="65" spans="2:16" x14ac:dyDescent="0.45">
      <c r="B65" s="1" t="s">
        <v>238</v>
      </c>
      <c r="C65" s="1" t="s">
        <v>239</v>
      </c>
      <c r="D65" s="12">
        <v>58438</v>
      </c>
      <c r="E65" s="12">
        <f>'DR Threshold Analysis'!D65</f>
        <v>57610.559999999998</v>
      </c>
      <c r="F65" t="str">
        <f>'DR Threshold Analysis'!AI65</f>
        <v>Rural</v>
      </c>
      <c r="G65" t="str">
        <f>'DR Threshold Analysis'!AK65</f>
        <v>Rural</v>
      </c>
      <c r="H65" t="str">
        <f>'DR Threshold Analysis'!AM65</f>
        <v>Rural</v>
      </c>
      <c r="J65" s="22"/>
      <c r="K65" s="22"/>
    </row>
    <row r="66" spans="2:16" x14ac:dyDescent="0.45">
      <c r="B66" s="1" t="s">
        <v>241</v>
      </c>
      <c r="C66" s="1" t="s">
        <v>242</v>
      </c>
      <c r="D66" s="12">
        <v>43675</v>
      </c>
      <c r="E66" s="12">
        <f>'DR Threshold Analysis'!D66</f>
        <v>42043.67</v>
      </c>
      <c r="F66" t="str">
        <f>'DR Threshold Analysis'!AI66</f>
        <v>Rural</v>
      </c>
      <c r="G66" t="str">
        <f>'DR Threshold Analysis'!AK66</f>
        <v>Rural</v>
      </c>
      <c r="H66" t="str">
        <f>'DR Threshold Analysis'!AM66</f>
        <v>Rural</v>
      </c>
      <c r="J66" s="22"/>
      <c r="K66" s="22"/>
    </row>
    <row r="67" spans="2:16" x14ac:dyDescent="0.45">
      <c r="B67" s="1" t="s">
        <v>244</v>
      </c>
      <c r="C67" s="1" t="s">
        <v>245</v>
      </c>
      <c r="D67" s="12">
        <v>46983</v>
      </c>
      <c r="E67" s="12">
        <f>'DR Threshold Analysis'!D67</f>
        <v>44496.33</v>
      </c>
      <c r="F67" t="str">
        <f>'DR Threshold Analysis'!AI67</f>
        <v>Rural</v>
      </c>
      <c r="G67" t="str">
        <f>'DR Threshold Analysis'!AK67</f>
        <v>Rural</v>
      </c>
      <c r="H67" t="str">
        <f>'DR Threshold Analysis'!AM67</f>
        <v>Rural</v>
      </c>
      <c r="J67" s="22"/>
      <c r="K67" s="22"/>
    </row>
    <row r="68" spans="2:16" x14ac:dyDescent="0.45">
      <c r="B68" s="1" t="s">
        <v>247</v>
      </c>
      <c r="C68" s="1" t="s">
        <v>248</v>
      </c>
      <c r="D68" s="12">
        <v>45730</v>
      </c>
      <c r="E68" s="12">
        <f>'DR Threshold Analysis'!D68</f>
        <v>47489.790000000008</v>
      </c>
      <c r="F68" t="str">
        <f>'DR Threshold Analysis'!AI68</f>
        <v>Remote</v>
      </c>
      <c r="G68" t="str">
        <f>'DR Threshold Analysis'!AK68</f>
        <v>Remote</v>
      </c>
      <c r="H68" t="str">
        <f>'DR Threshold Analysis'!AM68</f>
        <v>Remote</v>
      </c>
      <c r="J68" s="22"/>
      <c r="K68" s="22"/>
    </row>
    <row r="69" spans="2:16" x14ac:dyDescent="0.45">
      <c r="B69" s="1" t="s">
        <v>250</v>
      </c>
      <c r="C69" s="1" t="s">
        <v>251</v>
      </c>
      <c r="D69" s="12">
        <v>69729</v>
      </c>
      <c r="E69" s="12">
        <f>'DR Threshold Analysis'!D69</f>
        <v>69652.3</v>
      </c>
      <c r="F69" t="str">
        <f>'DR Threshold Analysis'!AI69</f>
        <v>Metro/Urban</v>
      </c>
      <c r="G69" t="str">
        <f>'DR Threshold Analysis'!AK69</f>
        <v>Metro/Urban</v>
      </c>
      <c r="H69" t="str">
        <f>'DR Threshold Analysis'!AM69</f>
        <v>Metro/Urban</v>
      </c>
      <c r="J69" s="22"/>
      <c r="K69" s="22"/>
    </row>
    <row r="70" spans="2:16" x14ac:dyDescent="0.45">
      <c r="B70" s="1" t="s">
        <v>253</v>
      </c>
      <c r="C70" s="1" t="s">
        <v>254</v>
      </c>
      <c r="D70" s="12">
        <v>70563</v>
      </c>
      <c r="E70" s="12">
        <f>'DR Threshold Analysis'!D70</f>
        <v>71755.31</v>
      </c>
      <c r="F70" t="str">
        <f>'DR Threshold Analysis'!AI70</f>
        <v>Rural</v>
      </c>
      <c r="G70" t="str">
        <f>'DR Threshold Analysis'!AK70</f>
        <v>Rural</v>
      </c>
      <c r="H70" t="str">
        <f>'DR Threshold Analysis'!AM70</f>
        <v>Rural</v>
      </c>
      <c r="J70" s="22"/>
      <c r="K70" s="22"/>
    </row>
    <row r="71" spans="2:16" x14ac:dyDescent="0.45">
      <c r="B71" s="1" t="s">
        <v>256</v>
      </c>
      <c r="C71" s="1" t="s">
        <v>257</v>
      </c>
      <c r="D71" s="12">
        <v>13150</v>
      </c>
      <c r="E71" s="12">
        <f>'DR Threshold Analysis'!D71</f>
        <v>13596.39</v>
      </c>
      <c r="F71" t="str">
        <f>'DR Threshold Analysis'!AI71</f>
        <v>Rural</v>
      </c>
      <c r="G71" t="str">
        <f>'DR Threshold Analysis'!AK71</f>
        <v>Rural</v>
      </c>
      <c r="H71" t="str">
        <f>'DR Threshold Analysis'!AM71</f>
        <v>Rural</v>
      </c>
      <c r="J71" s="22"/>
      <c r="K71" s="22"/>
    </row>
    <row r="72" spans="2:16" x14ac:dyDescent="0.45">
      <c r="B72" s="1" t="s">
        <v>27</v>
      </c>
      <c r="C72" s="1" t="s">
        <v>28</v>
      </c>
      <c r="D72" s="12">
        <v>177314</v>
      </c>
      <c r="E72" s="12">
        <f>'DR Threshold Analysis'!D72</f>
        <v>189961.19</v>
      </c>
      <c r="F72" t="str">
        <f>'DR Threshold Analysis'!AI72</f>
        <v>Metro/Urban</v>
      </c>
      <c r="G72" t="str">
        <f>'DR Threshold Analysis'!AK72</f>
        <v>Metro/Urban</v>
      </c>
      <c r="H72" t="str">
        <f>'DR Threshold Analysis'!AM72</f>
        <v>Metro/Urban</v>
      </c>
      <c r="J72" s="22"/>
      <c r="K72" s="22"/>
    </row>
    <row r="73" spans="2:16" x14ac:dyDescent="0.45">
      <c r="B73" s="1" t="s">
        <v>259</v>
      </c>
      <c r="C73" s="1" t="s">
        <v>260</v>
      </c>
      <c r="D73" s="12">
        <v>42993</v>
      </c>
      <c r="E73" s="12">
        <f>'DR Threshold Analysis'!D73</f>
        <v>44832.56</v>
      </c>
      <c r="F73" t="str">
        <f>'DR Threshold Analysis'!AI73</f>
        <v>Rural</v>
      </c>
      <c r="G73" t="str">
        <f>'DR Threshold Analysis'!AK73</f>
        <v>Rural</v>
      </c>
      <c r="H73" t="str">
        <f>'DR Threshold Analysis'!AM73</f>
        <v>Rural</v>
      </c>
      <c r="J73" s="22"/>
      <c r="K73" s="22"/>
    </row>
    <row r="74" spans="2:16" x14ac:dyDescent="0.45">
      <c r="B74" s="1" t="s">
        <v>262</v>
      </c>
      <c r="C74" s="1" t="s">
        <v>263</v>
      </c>
      <c r="D74" s="12">
        <v>154982</v>
      </c>
      <c r="E74" s="12">
        <f>'DR Threshold Analysis'!D74</f>
        <v>165556.26</v>
      </c>
      <c r="F74" t="str">
        <f>'DR Threshold Analysis'!AI74</f>
        <v>Metro/Urban</v>
      </c>
      <c r="G74" t="str">
        <f>'DR Threshold Analysis'!AK74</f>
        <v>Metro/Urban</v>
      </c>
      <c r="H74" t="str">
        <f>'DR Threshold Analysis'!AM74</f>
        <v>Metro/Urban</v>
      </c>
      <c r="J74" s="22"/>
      <c r="K74" s="22"/>
    </row>
    <row r="75" spans="2:16" x14ac:dyDescent="0.45">
      <c r="B75" s="1" t="s">
        <v>265</v>
      </c>
      <c r="C75" s="1" t="s">
        <v>266</v>
      </c>
      <c r="D75" s="12">
        <v>65180</v>
      </c>
      <c r="E75" s="12">
        <f>'DR Threshold Analysis'!D75</f>
        <v>67884.899999999994</v>
      </c>
      <c r="F75" t="str">
        <f>'DR Threshold Analysis'!AI75</f>
        <v>Rural</v>
      </c>
      <c r="G75" t="str">
        <f>'DR Threshold Analysis'!AK75</f>
        <v>Rural</v>
      </c>
      <c r="H75" t="str">
        <f>'DR Threshold Analysis'!AM75</f>
        <v>Rural</v>
      </c>
      <c r="J75" s="22"/>
      <c r="K75" s="22"/>
    </row>
    <row r="76" spans="2:16" x14ac:dyDescent="0.45">
      <c r="B76" s="1" t="s">
        <v>268</v>
      </c>
      <c r="C76" s="1" t="s">
        <v>269</v>
      </c>
      <c r="D76" s="12">
        <v>165516</v>
      </c>
      <c r="E76" s="12">
        <f>'DR Threshold Analysis'!D76</f>
        <v>176232.37</v>
      </c>
      <c r="F76" t="str">
        <f>'DR Threshold Analysis'!AI76</f>
        <v>Metro/Urban</v>
      </c>
      <c r="G76" s="22" t="str">
        <f>'DR Threshold Analysis'!AK76</f>
        <v>Metro/Urban</v>
      </c>
      <c r="H76" s="20" t="str">
        <f>'DR Threshold Analysis'!AM76</f>
        <v>Mix</v>
      </c>
      <c r="J76" s="24"/>
      <c r="K76" s="24"/>
      <c r="L76" s="11">
        <v>4020.2519999999931</v>
      </c>
      <c r="M76" s="19">
        <v>5.3953554537987811</v>
      </c>
      <c r="P76" t="s">
        <v>557</v>
      </c>
    </row>
    <row r="77" spans="2:16" x14ac:dyDescent="0.45">
      <c r="B77" s="1" t="s">
        <v>271</v>
      </c>
      <c r="C77" s="1" t="s">
        <v>272</v>
      </c>
      <c r="D77" s="12">
        <v>45902</v>
      </c>
      <c r="E77" s="12">
        <f>'DR Threshold Analysis'!D77</f>
        <v>48179.45</v>
      </c>
      <c r="F77" t="str">
        <f>'DR Threshold Analysis'!AI77</f>
        <v>Rural</v>
      </c>
      <c r="G77" t="str">
        <f>'DR Threshold Analysis'!AK77</f>
        <v>Rural</v>
      </c>
      <c r="H77" t="str">
        <f>'DR Threshold Analysis'!AM77</f>
        <v>Rural</v>
      </c>
      <c r="J77" s="22"/>
      <c r="K77" s="22"/>
    </row>
    <row r="78" spans="2:16" x14ac:dyDescent="0.45">
      <c r="B78" s="1" t="s">
        <v>274</v>
      </c>
      <c r="C78" s="1" t="s">
        <v>275</v>
      </c>
      <c r="D78" s="12">
        <v>20813</v>
      </c>
      <c r="E78" s="12">
        <f>'DR Threshold Analysis'!D78</f>
        <v>23430.010000000002</v>
      </c>
      <c r="F78" t="str">
        <f>'DR Threshold Analysis'!AI78</f>
        <v>Rural</v>
      </c>
      <c r="G78" t="str">
        <f>'DR Threshold Analysis'!AK78</f>
        <v>Rural</v>
      </c>
      <c r="H78" t="str">
        <f>'DR Threshold Analysis'!AM78</f>
        <v>Rural</v>
      </c>
      <c r="J78" s="22"/>
      <c r="K78" s="22"/>
    </row>
    <row r="79" spans="2:16" x14ac:dyDescent="0.45">
      <c r="B79" s="1" t="s">
        <v>37</v>
      </c>
      <c r="C79" s="1" t="s">
        <v>38</v>
      </c>
      <c r="D79" s="12">
        <v>7030750</v>
      </c>
      <c r="E79" s="12">
        <f>'DR Threshold Analysis'!D79</f>
        <v>7363382.0600000005</v>
      </c>
      <c r="F79" t="str">
        <f>'DR Threshold Analysis'!AI79</f>
        <v>Metro/Urban</v>
      </c>
      <c r="G79" t="str">
        <f>'DR Threshold Analysis'!AK79</f>
        <v>Metro/Urban</v>
      </c>
      <c r="H79" t="str">
        <f>'DR Threshold Analysis'!AM79</f>
        <v>Metro/Urban</v>
      </c>
      <c r="J79" s="22"/>
      <c r="K79" s="22"/>
    </row>
    <row r="80" spans="2:16" x14ac:dyDescent="0.45">
      <c r="B80" s="1" t="s">
        <v>277</v>
      </c>
      <c r="C80" s="1" t="s">
        <v>278</v>
      </c>
      <c r="D80" s="12">
        <v>129279</v>
      </c>
      <c r="E80" s="12">
        <f>'DR Threshold Analysis'!D80</f>
        <v>152100.65</v>
      </c>
      <c r="F80" s="26" t="str">
        <f>'DR Threshold Analysis'!AI80</f>
        <v>Metro/Urban</v>
      </c>
      <c r="G80" s="21" t="s">
        <v>541</v>
      </c>
      <c r="H80" s="21" t="s">
        <v>541</v>
      </c>
      <c r="J80" s="24">
        <v>21585.687499999993</v>
      </c>
      <c r="K80" s="25">
        <v>17.920704508244047</v>
      </c>
      <c r="L80" s="11">
        <v>44400.784999999996</v>
      </c>
      <c r="M80" s="19">
        <v>36.862080390956962</v>
      </c>
      <c r="O80" t="s">
        <v>558</v>
      </c>
      <c r="P80" t="s">
        <v>559</v>
      </c>
    </row>
    <row r="81" spans="2:16" x14ac:dyDescent="0.45">
      <c r="B81" s="1" t="s">
        <v>40</v>
      </c>
      <c r="C81" s="1" t="s">
        <v>41</v>
      </c>
      <c r="D81" s="12">
        <v>707534</v>
      </c>
      <c r="E81" s="12">
        <f>'DR Threshold Analysis'!D81</f>
        <v>773843.52</v>
      </c>
      <c r="F81" t="str">
        <f>'DR Threshold Analysis'!AI81</f>
        <v>Metro/Urban</v>
      </c>
      <c r="G81" t="str">
        <f>'DR Threshold Analysis'!AK81</f>
        <v>Metro/Urban</v>
      </c>
      <c r="H81" t="str">
        <f>'DR Threshold Analysis'!AM81</f>
        <v>Metro/Urban</v>
      </c>
      <c r="J81" s="22"/>
      <c r="K81" s="22"/>
    </row>
    <row r="82" spans="2:16" x14ac:dyDescent="0.45">
      <c r="B82" s="1" t="s">
        <v>280</v>
      </c>
      <c r="C82" s="1" t="s">
        <v>281</v>
      </c>
      <c r="D82" s="12">
        <v>30010</v>
      </c>
      <c r="E82" s="12">
        <f>'DR Threshold Analysis'!D82</f>
        <v>32948.660000000003</v>
      </c>
      <c r="F82" t="str">
        <f>'DR Threshold Analysis'!AI82</f>
        <v>Rural</v>
      </c>
      <c r="G82" t="str">
        <f>'DR Threshold Analysis'!AK82</f>
        <v>Rural</v>
      </c>
      <c r="H82" t="str">
        <f>'DR Threshold Analysis'!AM82</f>
        <v>Rural</v>
      </c>
      <c r="J82" s="22"/>
      <c r="K82" s="22"/>
    </row>
    <row r="83" spans="2:16" x14ac:dyDescent="0.45">
      <c r="B83" s="1" t="s">
        <v>283</v>
      </c>
      <c r="C83" s="1" t="s">
        <v>284</v>
      </c>
      <c r="D83" s="12">
        <v>185818</v>
      </c>
      <c r="E83" s="12">
        <f>'DR Threshold Analysis'!D83</f>
        <v>198801.61000000002</v>
      </c>
      <c r="F83" t="str">
        <f>'DR Threshold Analysis'!AI83</f>
        <v>Rural</v>
      </c>
      <c r="G83" t="str">
        <f>'DR Threshold Analysis'!AK83</f>
        <v>Rural</v>
      </c>
      <c r="H83" t="str">
        <f>'DR Threshold Analysis'!AM83</f>
        <v>Rural</v>
      </c>
      <c r="J83" s="22"/>
      <c r="K83" s="22"/>
    </row>
    <row r="84" spans="2:16" x14ac:dyDescent="0.45">
      <c r="B84" s="1" t="s">
        <v>286</v>
      </c>
      <c r="C84" s="1" t="s">
        <v>287</v>
      </c>
      <c r="D84" s="12">
        <v>84257</v>
      </c>
      <c r="E84" s="12">
        <f>'DR Threshold Analysis'!D84</f>
        <v>89385.27</v>
      </c>
      <c r="F84" t="str">
        <f>'DR Threshold Analysis'!AI84</f>
        <v>Rural</v>
      </c>
      <c r="G84" t="str">
        <f>'DR Threshold Analysis'!AK84</f>
        <v>Rural</v>
      </c>
      <c r="H84" t="str">
        <f>'DR Threshold Analysis'!AM84</f>
        <v>Rural</v>
      </c>
      <c r="J84" s="22"/>
      <c r="K84" s="22"/>
    </row>
    <row r="85" spans="2:16" x14ac:dyDescent="0.45">
      <c r="B85" s="1" t="s">
        <v>289</v>
      </c>
      <c r="C85" s="1" t="s">
        <v>290</v>
      </c>
      <c r="D85" s="12">
        <v>31072</v>
      </c>
      <c r="E85" s="12">
        <f>'DR Threshold Analysis'!D85</f>
        <v>33647.379999999997</v>
      </c>
      <c r="F85" t="str">
        <f>'DR Threshold Analysis'!AI85</f>
        <v>Rural</v>
      </c>
      <c r="G85" t="str">
        <f>'DR Threshold Analysis'!AK85</f>
        <v>Rural</v>
      </c>
      <c r="H85" t="str">
        <f>'DR Threshold Analysis'!AM85</f>
        <v>Rural</v>
      </c>
      <c r="J85" s="22"/>
      <c r="K85" s="22"/>
    </row>
    <row r="86" spans="2:16" x14ac:dyDescent="0.45">
      <c r="B86" s="1" t="s">
        <v>43</v>
      </c>
      <c r="C86" s="1" t="s">
        <v>44</v>
      </c>
      <c r="D86" s="12">
        <v>349283</v>
      </c>
      <c r="E86" s="12">
        <f>'DR Threshold Analysis'!D86</f>
        <v>372251.19</v>
      </c>
      <c r="F86" t="str">
        <f>'DR Threshold Analysis'!AI86</f>
        <v>Metro/Urban</v>
      </c>
      <c r="G86" t="str">
        <f>'DR Threshold Analysis'!AK86</f>
        <v>Metro/Urban</v>
      </c>
      <c r="H86" t="str">
        <f>'DR Threshold Analysis'!AM86</f>
        <v>Metro/Urban</v>
      </c>
      <c r="J86" s="22"/>
      <c r="K86" s="22"/>
    </row>
    <row r="87" spans="2:16" x14ac:dyDescent="0.45">
      <c r="B87" s="1" t="s">
        <v>292</v>
      </c>
      <c r="C87" s="1" t="s">
        <v>293</v>
      </c>
      <c r="D87" s="12">
        <v>37398</v>
      </c>
      <c r="E87" s="12">
        <f>'DR Threshold Analysis'!D87</f>
        <v>40642.800000000003</v>
      </c>
      <c r="F87" t="str">
        <f>'DR Threshold Analysis'!AI87</f>
        <v>Rural</v>
      </c>
      <c r="G87" t="str">
        <f>'DR Threshold Analysis'!AK87</f>
        <v>Rural</v>
      </c>
      <c r="H87" t="str">
        <f>'DR Threshold Analysis'!AM87</f>
        <v>Rural</v>
      </c>
      <c r="J87" s="22"/>
      <c r="K87" s="22"/>
    </row>
    <row r="88" spans="2:16" x14ac:dyDescent="0.45">
      <c r="B88" s="1" t="s">
        <v>46</v>
      </c>
      <c r="C88" s="1" t="s">
        <v>47</v>
      </c>
      <c r="D88" s="12">
        <v>678149</v>
      </c>
      <c r="E88" s="12">
        <f>'DR Threshold Analysis'!D88</f>
        <v>738854.72</v>
      </c>
      <c r="F88" t="str">
        <f>'DR Threshold Analysis'!AI88</f>
        <v>Metro/Urban</v>
      </c>
      <c r="G88" t="str">
        <f>'DR Threshold Analysis'!AK88</f>
        <v>Metro/Urban</v>
      </c>
      <c r="H88" t="str">
        <f>'DR Threshold Analysis'!AM88</f>
        <v>Metro/Urban</v>
      </c>
      <c r="J88" s="22"/>
      <c r="K88" s="22"/>
    </row>
    <row r="89" spans="2:16" x14ac:dyDescent="0.45">
      <c r="B89" s="1" t="s">
        <v>295</v>
      </c>
      <c r="C89" s="1" t="s">
        <v>296</v>
      </c>
      <c r="D89" s="12">
        <v>138535</v>
      </c>
      <c r="E89" s="12">
        <f>'DR Threshold Analysis'!D89</f>
        <v>148371.99000000002</v>
      </c>
      <c r="F89" t="str">
        <f>'DR Threshold Analysis'!AI89</f>
        <v>Metro/Urban</v>
      </c>
      <c r="G89" t="str">
        <f>'DR Threshold Analysis'!AK89</f>
        <v>Metro/Urban</v>
      </c>
      <c r="H89" t="str">
        <f>'DR Threshold Analysis'!AM89</f>
        <v>Metro/Urban</v>
      </c>
      <c r="J89" s="22"/>
      <c r="K89" s="22"/>
    </row>
    <row r="90" spans="2:16" x14ac:dyDescent="0.45">
      <c r="B90" s="1" t="s">
        <v>298</v>
      </c>
      <c r="C90" s="1" t="s">
        <v>299</v>
      </c>
      <c r="D90" s="12">
        <v>51339</v>
      </c>
      <c r="E90" s="12">
        <f>'DR Threshold Analysis'!D90</f>
        <v>53654.17</v>
      </c>
      <c r="F90" t="str">
        <f>'DR Threshold Analysis'!AI90</f>
        <v>Metro/Urban</v>
      </c>
      <c r="G90" t="str">
        <f>'DR Threshold Analysis'!AK90</f>
        <v>Metro/Urban</v>
      </c>
      <c r="H90" t="str">
        <f>'DR Threshold Analysis'!AM90</f>
        <v>Metro/Urban</v>
      </c>
      <c r="J90" s="22"/>
      <c r="K90" s="22"/>
    </row>
    <row r="91" spans="2:16" x14ac:dyDescent="0.45">
      <c r="B91" s="1" t="s">
        <v>301</v>
      </c>
      <c r="C91" s="1" t="s">
        <v>302</v>
      </c>
      <c r="D91" s="12">
        <v>68885</v>
      </c>
      <c r="E91" s="12">
        <f>'DR Threshold Analysis'!D91</f>
        <v>70303.290000000008</v>
      </c>
      <c r="F91" t="str">
        <f>'DR Threshold Analysis'!AI91</f>
        <v>Metro/Urban</v>
      </c>
      <c r="G91" s="22" t="str">
        <f>'DR Threshold Analysis'!AK91</f>
        <v>Metro/Urban</v>
      </c>
      <c r="H91" s="20" t="str">
        <f>'DR Threshold Analysis'!AM91</f>
        <v>Mix</v>
      </c>
      <c r="J91" s="24"/>
      <c r="K91" s="24"/>
      <c r="L91" s="11">
        <v>7174.6229999999996</v>
      </c>
      <c r="M91" s="19">
        <v>25.382869854922639</v>
      </c>
      <c r="P91" t="s">
        <v>560</v>
      </c>
    </row>
    <row r="92" spans="2:16" x14ac:dyDescent="0.45">
      <c r="B92" s="1" t="s">
        <v>49</v>
      </c>
      <c r="C92" s="1" t="s">
        <v>50</v>
      </c>
      <c r="D92" s="12">
        <v>401719</v>
      </c>
      <c r="E92" s="12">
        <f>'DR Threshold Analysis'!D92</f>
        <v>425810.51</v>
      </c>
      <c r="F92" t="str">
        <f>'DR Threshold Analysis'!AI92</f>
        <v>Metro/Urban</v>
      </c>
      <c r="G92" t="str">
        <f>'DR Threshold Analysis'!AK92</f>
        <v>Metro/Urban</v>
      </c>
      <c r="H92" t="str">
        <f>'DR Threshold Analysis'!AM92</f>
        <v>Metro/Urban</v>
      </c>
      <c r="J92" s="22"/>
      <c r="K92" s="22"/>
    </row>
    <row r="93" spans="2:16" x14ac:dyDescent="0.45">
      <c r="B93" s="1" t="s">
        <v>304</v>
      </c>
      <c r="C93" s="1" t="s">
        <v>305</v>
      </c>
      <c r="D93" s="12">
        <v>30983</v>
      </c>
      <c r="E93" s="12">
        <f>'DR Threshold Analysis'!D93</f>
        <v>30045.71</v>
      </c>
      <c r="F93" s="22" t="str">
        <f>'DR Threshold Analysis'!AI93</f>
        <v>Metro/Urban</v>
      </c>
      <c r="G93" s="20" t="s">
        <v>541</v>
      </c>
      <c r="H93" s="20" t="s">
        <v>541</v>
      </c>
      <c r="J93" s="24">
        <v>748.68299999999908</v>
      </c>
      <c r="K93" s="25">
        <v>3.4373720196063626</v>
      </c>
      <c r="L93" s="11">
        <v>3753.253999999999</v>
      </c>
      <c r="M93" s="19">
        <v>17.232033159662596</v>
      </c>
      <c r="O93" t="s">
        <v>561</v>
      </c>
      <c r="P93" t="s">
        <v>562</v>
      </c>
    </row>
    <row r="94" spans="2:16" x14ac:dyDescent="0.45">
      <c r="B94" s="1" t="s">
        <v>307</v>
      </c>
      <c r="C94" s="1" t="s">
        <v>308</v>
      </c>
      <c r="D94" s="12">
        <v>123953</v>
      </c>
      <c r="E94" s="12">
        <f>'DR Threshold Analysis'!D94</f>
        <v>126775.03999999999</v>
      </c>
      <c r="F94" t="str">
        <f>'DR Threshold Analysis'!AI94</f>
        <v>Metro/Urban</v>
      </c>
      <c r="G94" t="str">
        <f>'DR Threshold Analysis'!AK94</f>
        <v>Metro/Urban</v>
      </c>
      <c r="H94" t="str">
        <f>'DR Threshold Analysis'!AM94</f>
        <v>Mix</v>
      </c>
      <c r="J94" s="24"/>
      <c r="K94" s="24"/>
      <c r="L94" s="11">
        <v>10141.937999999995</v>
      </c>
      <c r="M94" s="19">
        <v>21.052524730432822</v>
      </c>
    </row>
    <row r="95" spans="2:16" x14ac:dyDescent="0.45">
      <c r="B95" s="1" t="s">
        <v>310</v>
      </c>
      <c r="C95" s="1" t="s">
        <v>311</v>
      </c>
      <c r="D95" s="12">
        <v>46727</v>
      </c>
      <c r="E95" s="12">
        <f>'DR Threshold Analysis'!D95</f>
        <v>51527.210000000006</v>
      </c>
      <c r="F95" s="22" t="str">
        <f>'DR Threshold Analysis'!AI95</f>
        <v>Metro/Urban</v>
      </c>
      <c r="G95" s="20" t="s">
        <v>541</v>
      </c>
      <c r="H95" s="20" t="s">
        <v>541</v>
      </c>
      <c r="J95" s="24">
        <v>6702.9040000000059</v>
      </c>
      <c r="K95" s="25">
        <v>17.817759693646057</v>
      </c>
      <c r="L95" s="11">
        <v>17008.346000000001</v>
      </c>
      <c r="M95" s="19">
        <v>45.211839795764028</v>
      </c>
      <c r="O95" t="s">
        <v>562</v>
      </c>
      <c r="P95" t="s">
        <v>563</v>
      </c>
    </row>
    <row r="96" spans="2:16" x14ac:dyDescent="0.45">
      <c r="B96" s="1" t="s">
        <v>52</v>
      </c>
      <c r="C96" s="1" t="s">
        <v>53</v>
      </c>
      <c r="D96" s="12">
        <v>352290</v>
      </c>
      <c r="E96" s="12">
        <f>'DR Threshold Analysis'!D96</f>
        <v>382704.14</v>
      </c>
      <c r="F96" t="str">
        <f>'DR Threshold Analysis'!AI96</f>
        <v>Metro/Urban</v>
      </c>
      <c r="G96" t="str">
        <f>'DR Threshold Analysis'!AK96</f>
        <v>Metro/Urban</v>
      </c>
      <c r="H96" t="str">
        <f>'DR Threshold Analysis'!AM96</f>
        <v>Metro/Urban</v>
      </c>
      <c r="J96" s="22"/>
      <c r="K96" s="22"/>
    </row>
    <row r="97" spans="2:16" x14ac:dyDescent="0.45">
      <c r="B97" s="1" t="s">
        <v>313</v>
      </c>
      <c r="C97" s="1" t="s">
        <v>314</v>
      </c>
      <c r="D97" s="12">
        <v>49059</v>
      </c>
      <c r="E97" s="12">
        <f>'DR Threshold Analysis'!D97</f>
        <v>53462.42</v>
      </c>
      <c r="F97" t="str">
        <f>'DR Threshold Analysis'!AI97</f>
        <v>Rural</v>
      </c>
      <c r="G97" t="str">
        <f>'DR Threshold Analysis'!AK97</f>
        <v>Rural</v>
      </c>
      <c r="H97" t="str">
        <f>'DR Threshold Analysis'!AM97</f>
        <v>Rural</v>
      </c>
      <c r="J97" s="22"/>
      <c r="K97" s="22"/>
    </row>
    <row r="98" spans="2:16" x14ac:dyDescent="0.45">
      <c r="B98" s="1" t="s">
        <v>316</v>
      </c>
      <c r="C98" s="1" t="s">
        <v>317</v>
      </c>
      <c r="D98" s="12">
        <v>61892</v>
      </c>
      <c r="E98" s="12">
        <f>'DR Threshold Analysis'!D98</f>
        <v>68225.97</v>
      </c>
      <c r="F98" t="str">
        <f>'DR Threshold Analysis'!AI98</f>
        <v>Rural</v>
      </c>
      <c r="G98" t="str">
        <f>'DR Threshold Analysis'!AK98</f>
        <v>Rural</v>
      </c>
      <c r="H98" t="str">
        <f>'DR Threshold Analysis'!AM98</f>
        <v>Rural</v>
      </c>
      <c r="J98" s="22"/>
      <c r="K98" s="22"/>
    </row>
    <row r="99" spans="2:16" x14ac:dyDescent="0.45">
      <c r="B99" s="1" t="s">
        <v>319</v>
      </c>
      <c r="C99" s="1" t="s">
        <v>320</v>
      </c>
      <c r="D99" s="12">
        <v>104524</v>
      </c>
      <c r="E99" s="12">
        <f>'DR Threshold Analysis'!D99</f>
        <v>106921.08</v>
      </c>
      <c r="F99" t="str">
        <f>'DR Threshold Analysis'!AI99</f>
        <v>Metro/Urban</v>
      </c>
      <c r="G99" s="22" t="str">
        <f>'DR Threshold Analysis'!AK99</f>
        <v>Metro/Urban</v>
      </c>
      <c r="H99" s="20" t="str">
        <f>'DR Threshold Analysis'!AM99</f>
        <v>Mix</v>
      </c>
      <c r="J99" s="24"/>
      <c r="K99" s="24"/>
      <c r="L99" s="11">
        <v>6271.4579999999987</v>
      </c>
      <c r="M99" s="19">
        <v>12.788483008424365</v>
      </c>
      <c r="P99" t="s">
        <v>564</v>
      </c>
    </row>
    <row r="100" spans="2:16" x14ac:dyDescent="0.45">
      <c r="B100" s="1" t="s">
        <v>322</v>
      </c>
      <c r="C100" s="1" t="s">
        <v>323</v>
      </c>
      <c r="D100" s="12">
        <v>21123</v>
      </c>
      <c r="E100" s="12">
        <f>'DR Threshold Analysis'!D100</f>
        <v>24090.27</v>
      </c>
      <c r="F100" t="str">
        <f>'DR Threshold Analysis'!AI100</f>
        <v>Rural</v>
      </c>
      <c r="G100" t="str">
        <f>'DR Threshold Analysis'!AK100</f>
        <v>Rural</v>
      </c>
      <c r="H100" t="str">
        <f>'DR Threshold Analysis'!AM100</f>
        <v>Rural</v>
      </c>
      <c r="J100" s="22"/>
      <c r="K100" s="22"/>
    </row>
    <row r="101" spans="2:16" x14ac:dyDescent="0.45">
      <c r="B101" s="1" t="s">
        <v>325</v>
      </c>
      <c r="C101" s="1" t="s">
        <v>326</v>
      </c>
      <c r="D101" s="12">
        <v>29520</v>
      </c>
      <c r="E101" s="12">
        <f>'DR Threshold Analysis'!D101</f>
        <v>30827.11</v>
      </c>
      <c r="F101" t="str">
        <f>'DR Threshold Analysis'!AI101</f>
        <v>Rural</v>
      </c>
      <c r="G101" t="str">
        <f>'DR Threshold Analysis'!AK101</f>
        <v>Rural</v>
      </c>
      <c r="H101" t="str">
        <f>'DR Threshold Analysis'!AM101</f>
        <v>Rural</v>
      </c>
      <c r="J101" s="22"/>
      <c r="K101" s="22"/>
    </row>
    <row r="102" spans="2:16" x14ac:dyDescent="0.45">
      <c r="B102" s="1" t="s">
        <v>328</v>
      </c>
      <c r="C102" s="1" t="s">
        <v>329</v>
      </c>
      <c r="D102" s="12">
        <v>178872</v>
      </c>
      <c r="E102" s="12">
        <f>'DR Threshold Analysis'!D102</f>
        <v>184029.84999999998</v>
      </c>
      <c r="F102" t="str">
        <f>'DR Threshold Analysis'!AI102</f>
        <v>Metro/Urban</v>
      </c>
      <c r="G102" s="22" t="str">
        <f>'DR Threshold Analysis'!AK102</f>
        <v>Metro/Urban</v>
      </c>
      <c r="H102" s="20" t="str">
        <f>'DR Threshold Analysis'!AM102</f>
        <v>Mix</v>
      </c>
      <c r="J102" s="24"/>
      <c r="K102" s="24"/>
      <c r="L102" s="11">
        <v>1091.2699999999895</v>
      </c>
      <c r="M102" s="19">
        <v>1.4608073736054845</v>
      </c>
      <c r="P102" t="s">
        <v>565</v>
      </c>
    </row>
    <row r="103" spans="2:16" x14ac:dyDescent="0.45">
      <c r="B103" s="1" t="s">
        <v>331</v>
      </c>
      <c r="C103" s="1" t="s">
        <v>332</v>
      </c>
      <c r="D103" s="12">
        <v>32402</v>
      </c>
      <c r="E103" s="12">
        <f>'DR Threshold Analysis'!D103</f>
        <v>31578.54</v>
      </c>
      <c r="F103" t="str">
        <f>'DR Threshold Analysis'!AI103</f>
        <v>Rural</v>
      </c>
      <c r="G103" t="str">
        <f>'DR Threshold Analysis'!AK103</f>
        <v>Rural</v>
      </c>
      <c r="H103" t="str">
        <f>'DR Threshold Analysis'!AM103</f>
        <v>Rural</v>
      </c>
      <c r="J103" s="22"/>
      <c r="K103" s="22"/>
    </row>
    <row r="104" spans="2:16" x14ac:dyDescent="0.45">
      <c r="B104" s="1" t="s">
        <v>334</v>
      </c>
      <c r="C104" s="1" t="s">
        <v>335</v>
      </c>
      <c r="D104" s="12">
        <v>42086</v>
      </c>
      <c r="E104" s="12">
        <f>'DR Threshold Analysis'!D104</f>
        <v>41452.03</v>
      </c>
      <c r="F104" t="str">
        <f>'DR Threshold Analysis'!AI104</f>
        <v>Rural</v>
      </c>
      <c r="G104" t="str">
        <f>'DR Threshold Analysis'!AK104</f>
        <v>Rural</v>
      </c>
      <c r="H104" t="str">
        <f>'DR Threshold Analysis'!AM104</f>
        <v>Rural</v>
      </c>
      <c r="J104" s="22"/>
      <c r="K104" s="22"/>
    </row>
    <row r="105" spans="2:16" x14ac:dyDescent="0.45">
      <c r="B105" s="1" t="s">
        <v>337</v>
      </c>
      <c r="C105" s="1" t="s">
        <v>338</v>
      </c>
      <c r="D105" s="12">
        <v>38024</v>
      </c>
      <c r="E105" s="12">
        <f>'DR Threshold Analysis'!D105</f>
        <v>36787.870000000003</v>
      </c>
      <c r="F105" t="str">
        <f>'DR Threshold Analysis'!AI105</f>
        <v>Rural</v>
      </c>
      <c r="G105" t="str">
        <f>'DR Threshold Analysis'!AK105</f>
        <v>Rural</v>
      </c>
      <c r="H105" t="str">
        <f>'DR Threshold Analysis'!AM105</f>
        <v>Rural</v>
      </c>
      <c r="J105" s="22"/>
      <c r="K105" s="22"/>
    </row>
    <row r="106" spans="2:16" x14ac:dyDescent="0.45">
      <c r="B106" s="1" t="s">
        <v>340</v>
      </c>
      <c r="C106" s="1" t="s">
        <v>341</v>
      </c>
      <c r="D106" s="12">
        <v>64826</v>
      </c>
      <c r="E106" s="12">
        <f>'DR Threshold Analysis'!D106</f>
        <v>65316.070000000007</v>
      </c>
      <c r="F106" t="str">
        <f>'DR Threshold Analysis'!AI106</f>
        <v>Remote</v>
      </c>
      <c r="G106" t="str">
        <f>'DR Threshold Analysis'!AK106</f>
        <v>Remote</v>
      </c>
      <c r="H106" t="str">
        <f>'DR Threshold Analysis'!AM106</f>
        <v>Remote</v>
      </c>
      <c r="J106" s="22"/>
      <c r="K106" s="22"/>
    </row>
    <row r="107" spans="2:16" x14ac:dyDescent="0.45">
      <c r="B107" s="1" t="s">
        <v>343</v>
      </c>
      <c r="C107" s="1" t="s">
        <v>344</v>
      </c>
      <c r="D107" s="12">
        <v>20162</v>
      </c>
      <c r="E107" s="12">
        <f>'DR Threshold Analysis'!D107</f>
        <v>20354.89</v>
      </c>
      <c r="F107" t="str">
        <f>'DR Threshold Analysis'!AI107</f>
        <v>Rural</v>
      </c>
      <c r="G107" t="str">
        <f>'DR Threshold Analysis'!AK107</f>
        <v>Rural</v>
      </c>
      <c r="H107" t="str">
        <f>'DR Threshold Analysis'!AM107</f>
        <v>Rural</v>
      </c>
      <c r="J107" s="22"/>
      <c r="K107" s="22"/>
    </row>
    <row r="108" spans="2:16" x14ac:dyDescent="0.45">
      <c r="B108" s="1" t="s">
        <v>346</v>
      </c>
      <c r="C108" s="1" t="s">
        <v>347</v>
      </c>
      <c r="D108" s="12">
        <v>80833</v>
      </c>
      <c r="E108" s="12">
        <f>'DR Threshold Analysis'!D108</f>
        <v>79750.84</v>
      </c>
      <c r="F108" t="str">
        <f>'DR Threshold Analysis'!AI108</f>
        <v>Metro/Urban</v>
      </c>
      <c r="G108" t="str">
        <f>'DR Threshold Analysis'!AK108</f>
        <v>Metro/Urban</v>
      </c>
      <c r="H108" t="str">
        <f>'DR Threshold Analysis'!AM108</f>
        <v>Metro/Urban</v>
      </c>
      <c r="J108" s="22"/>
      <c r="K108" s="22"/>
    </row>
    <row r="109" spans="2:16" x14ac:dyDescent="0.45">
      <c r="B109" s="1" t="s">
        <v>349</v>
      </c>
      <c r="C109" s="1" t="s">
        <v>350</v>
      </c>
      <c r="D109" s="12">
        <v>24923</v>
      </c>
      <c r="E109" s="12">
        <f>'DR Threshold Analysis'!D109</f>
        <v>24254.550000000003</v>
      </c>
      <c r="F109" t="str">
        <f>'DR Threshold Analysis'!AI109</f>
        <v>Remote</v>
      </c>
      <c r="G109" t="str">
        <f>'DR Threshold Analysis'!AK109</f>
        <v>Remote</v>
      </c>
      <c r="H109" t="str">
        <f>'DR Threshold Analysis'!AM109</f>
        <v>Remote</v>
      </c>
      <c r="J109" s="22"/>
      <c r="K109" s="22"/>
    </row>
    <row r="110" spans="2:16" x14ac:dyDescent="0.45">
      <c r="B110" s="1" t="s">
        <v>352</v>
      </c>
      <c r="C110" s="1" t="s">
        <v>353</v>
      </c>
      <c r="D110" s="12">
        <v>121061</v>
      </c>
      <c r="E110" s="12">
        <f>'DR Threshold Analysis'!D110</f>
        <v>122671.43</v>
      </c>
      <c r="F110" t="str">
        <f>'DR Threshold Analysis'!AI110</f>
        <v>Metro/Urban</v>
      </c>
      <c r="G110" t="str">
        <f>'DR Threshold Analysis'!AK110</f>
        <v>Metro/Urban</v>
      </c>
      <c r="H110" t="str">
        <f>'DR Threshold Analysis'!AM110</f>
        <v>Metro/Urban</v>
      </c>
      <c r="J110" s="22"/>
      <c r="K110" s="22"/>
    </row>
    <row r="111" spans="2:16" x14ac:dyDescent="0.45">
      <c r="B111" s="1" t="s">
        <v>355</v>
      </c>
      <c r="C111" s="1" t="s">
        <v>356</v>
      </c>
      <c r="D111" s="12">
        <v>20095</v>
      </c>
      <c r="E111" s="12">
        <f>'DR Threshold Analysis'!D111</f>
        <v>19388.439999999999</v>
      </c>
      <c r="F111" t="str">
        <f>'DR Threshold Analysis'!AI111</f>
        <v>Rural</v>
      </c>
      <c r="G111" t="str">
        <f>'DR Threshold Analysis'!AK111</f>
        <v>Rural</v>
      </c>
      <c r="H111" t="str">
        <f>'DR Threshold Analysis'!AM111</f>
        <v>Rural</v>
      </c>
      <c r="J111" s="22"/>
      <c r="K111" s="22"/>
    </row>
    <row r="112" spans="2:16" x14ac:dyDescent="0.45">
      <c r="B112" s="1" t="s">
        <v>358</v>
      </c>
      <c r="C112" s="1" t="s">
        <v>359</v>
      </c>
      <c r="D112" s="12">
        <v>64764</v>
      </c>
      <c r="E112" s="12">
        <f>'DR Threshold Analysis'!D112</f>
        <v>71270.22</v>
      </c>
      <c r="F112" t="str">
        <f>'DR Threshold Analysis'!AI112</f>
        <v>Rural</v>
      </c>
      <c r="G112" t="str">
        <f>'DR Threshold Analysis'!AK112</f>
        <v>Rural</v>
      </c>
      <c r="H112" t="str">
        <f>'DR Threshold Analysis'!AM112</f>
        <v>Rural</v>
      </c>
      <c r="J112" s="22"/>
      <c r="K112" s="22"/>
    </row>
    <row r="113" spans="2:16" x14ac:dyDescent="0.45">
      <c r="B113" s="1" t="s">
        <v>55</v>
      </c>
      <c r="C113" s="1" t="s">
        <v>56</v>
      </c>
      <c r="D113" s="12">
        <v>830151</v>
      </c>
      <c r="E113" s="12">
        <f>'DR Threshold Analysis'!D113</f>
        <v>883049.26</v>
      </c>
      <c r="F113" t="str">
        <f>'DR Threshold Analysis'!AI113</f>
        <v>Metro/Urban</v>
      </c>
      <c r="G113" t="str">
        <f>'DR Threshold Analysis'!AK113</f>
        <v>Metro/Urban</v>
      </c>
      <c r="H113" t="str">
        <f>'DR Threshold Analysis'!AM113</f>
        <v>Metro/Urban</v>
      </c>
      <c r="J113" s="22"/>
      <c r="K113" s="22"/>
    </row>
    <row r="114" spans="2:16" x14ac:dyDescent="0.45">
      <c r="B114" s="1" t="s">
        <v>361</v>
      </c>
      <c r="C114" s="1" t="s">
        <v>362</v>
      </c>
      <c r="D114" s="12">
        <v>58076</v>
      </c>
      <c r="E114" s="12">
        <f>'DR Threshold Analysis'!D114</f>
        <v>61460.909999999996</v>
      </c>
      <c r="F114" t="str">
        <f>'DR Threshold Analysis'!AI114</f>
        <v>Rural</v>
      </c>
      <c r="G114" t="str">
        <f>'DR Threshold Analysis'!AK114</f>
        <v>Rural</v>
      </c>
      <c r="H114" t="str">
        <f>'DR Threshold Analysis'!AM114</f>
        <v>Rural</v>
      </c>
      <c r="J114" s="22"/>
      <c r="K114" s="22"/>
    </row>
    <row r="115" spans="2:16" x14ac:dyDescent="0.45">
      <c r="B115" s="1" t="s">
        <v>364</v>
      </c>
      <c r="C115" s="1" t="s">
        <v>365</v>
      </c>
      <c r="D115" s="12">
        <v>51609</v>
      </c>
      <c r="E115" s="12">
        <f>'DR Threshold Analysis'!D115</f>
        <v>53905.29</v>
      </c>
      <c r="F115" t="str">
        <f>'DR Threshold Analysis'!AI115</f>
        <v>Rural</v>
      </c>
      <c r="G115" t="str">
        <f>'DR Threshold Analysis'!AK115</f>
        <v>Rural</v>
      </c>
      <c r="H115" t="str">
        <f>'DR Threshold Analysis'!AM115</f>
        <v>Rural</v>
      </c>
      <c r="J115" s="22"/>
      <c r="K115" s="22"/>
    </row>
    <row r="116" spans="2:16" x14ac:dyDescent="0.45">
      <c r="B116" s="1" t="s">
        <v>367</v>
      </c>
      <c r="C116" s="1" t="s">
        <v>368</v>
      </c>
      <c r="D116" s="12">
        <v>103743</v>
      </c>
      <c r="E116" s="12">
        <f>'DR Threshold Analysis'!D116</f>
        <v>107096.55</v>
      </c>
      <c r="F116" t="str">
        <f>'DR Threshold Analysis'!AI116</f>
        <v>Metro/Urban</v>
      </c>
      <c r="G116" s="22" t="str">
        <f>'DR Threshold Analysis'!AK116</f>
        <v>Metro/Urban</v>
      </c>
      <c r="H116" s="20" t="str">
        <f>'DR Threshold Analysis'!AM116</f>
        <v>Mix</v>
      </c>
      <c r="J116" s="24"/>
      <c r="K116" s="24"/>
      <c r="L116" s="11">
        <v>11620.949999999997</v>
      </c>
      <c r="M116" s="19">
        <v>21.338673808845712</v>
      </c>
      <c r="P116" t="s">
        <v>566</v>
      </c>
    </row>
    <row r="117" spans="2:16" x14ac:dyDescent="0.45">
      <c r="B117" s="1" t="s">
        <v>370</v>
      </c>
      <c r="C117" s="1" t="s">
        <v>371</v>
      </c>
      <c r="D117" s="12">
        <v>21273</v>
      </c>
      <c r="E117" s="12">
        <f>'DR Threshold Analysis'!D117</f>
        <v>21348.73</v>
      </c>
      <c r="F117" t="str">
        <f>'DR Threshold Analysis'!AI117</f>
        <v>Rural</v>
      </c>
      <c r="G117" t="str">
        <f>'DR Threshold Analysis'!AK117</f>
        <v>Rural</v>
      </c>
      <c r="H117" t="str">
        <f>'DR Threshold Analysis'!AM117</f>
        <v>Rural</v>
      </c>
      <c r="J117" s="22"/>
      <c r="K117" s="22"/>
    </row>
    <row r="118" spans="2:16" x14ac:dyDescent="0.45">
      <c r="B118" s="1" t="s">
        <v>373</v>
      </c>
      <c r="C118" s="1" t="s">
        <v>374</v>
      </c>
      <c r="D118" s="12">
        <v>75508</v>
      </c>
      <c r="E118" s="12">
        <f>'DR Threshold Analysis'!D118</f>
        <v>75151.13</v>
      </c>
      <c r="F118" t="str">
        <f>'DR Threshold Analysis'!AI118</f>
        <v>Rural</v>
      </c>
      <c r="G118" t="str">
        <f>'DR Threshold Analysis'!AK118</f>
        <v>Rural</v>
      </c>
      <c r="H118" t="str">
        <f>'DR Threshold Analysis'!AM118</f>
        <v>Rural</v>
      </c>
      <c r="J118" s="22"/>
      <c r="K118" s="22"/>
    </row>
    <row r="119" spans="2:16" x14ac:dyDescent="0.45">
      <c r="B119" s="1" t="s">
        <v>376</v>
      </c>
      <c r="C119" s="1" t="s">
        <v>377</v>
      </c>
      <c r="D119" s="12">
        <v>22228</v>
      </c>
      <c r="E119" s="12">
        <f>'DR Threshold Analysis'!D119</f>
        <v>22058.07</v>
      </c>
      <c r="F119" t="str">
        <f>'DR Threshold Analysis'!AI119</f>
        <v>Rural</v>
      </c>
      <c r="G119" t="str">
        <f>'DR Threshold Analysis'!AK119</f>
        <v>Rural</v>
      </c>
      <c r="H119" t="str">
        <f>'DR Threshold Analysis'!AM119</f>
        <v>Rural</v>
      </c>
      <c r="J119" s="22"/>
      <c r="K119" s="22"/>
    </row>
    <row r="120" spans="2:16" x14ac:dyDescent="0.45">
      <c r="B120" s="1" t="s">
        <v>379</v>
      </c>
      <c r="C120" s="1" t="s">
        <v>380</v>
      </c>
      <c r="D120" s="12">
        <v>50665</v>
      </c>
      <c r="E120" s="12">
        <f>'DR Threshold Analysis'!D120</f>
        <v>46907.020000000004</v>
      </c>
      <c r="F120" t="str">
        <f>'DR Threshold Analysis'!AI120</f>
        <v>Remote</v>
      </c>
      <c r="G120" t="str">
        <f>'DR Threshold Analysis'!AK120</f>
        <v>Remote</v>
      </c>
      <c r="H120" t="str">
        <f>'DR Threshold Analysis'!AM120</f>
        <v>Remote</v>
      </c>
      <c r="J120" s="22"/>
      <c r="K120" s="22"/>
    </row>
    <row r="121" spans="2:16" x14ac:dyDescent="0.45">
      <c r="B121" s="1" t="s">
        <v>382</v>
      </c>
      <c r="C121" s="1" t="s">
        <v>383</v>
      </c>
      <c r="D121" s="12">
        <v>46006</v>
      </c>
      <c r="E121" s="12">
        <f>'DR Threshold Analysis'!D121</f>
        <v>44532.35</v>
      </c>
      <c r="F121" t="str">
        <f>'DR Threshold Analysis'!AI121</f>
        <v>Rural</v>
      </c>
      <c r="G121" t="str">
        <f>'DR Threshold Analysis'!AK121</f>
        <v>Rural</v>
      </c>
      <c r="H121" t="str">
        <f>'DR Threshold Analysis'!AM121</f>
        <v>Rural</v>
      </c>
      <c r="J121" s="22"/>
      <c r="K121" s="22"/>
    </row>
    <row r="122" spans="2:16" x14ac:dyDescent="0.45">
      <c r="B122" s="1" t="s">
        <v>385</v>
      </c>
      <c r="C122" s="1" t="s">
        <v>386</v>
      </c>
      <c r="D122" s="12">
        <v>22877</v>
      </c>
      <c r="E122" s="12">
        <f>'DR Threshold Analysis'!D122</f>
        <v>22547.14</v>
      </c>
      <c r="F122" t="str">
        <f>'DR Threshold Analysis'!AI122</f>
        <v>Rural</v>
      </c>
      <c r="G122" t="str">
        <f>'DR Threshold Analysis'!AK122</f>
        <v>Rural</v>
      </c>
      <c r="H122" t="str">
        <f>'DR Threshold Analysis'!AM122</f>
        <v>Rural</v>
      </c>
      <c r="J122" s="22"/>
      <c r="K122" s="22"/>
    </row>
    <row r="123" spans="2:16" x14ac:dyDescent="0.45">
      <c r="B123" s="1" t="s">
        <v>388</v>
      </c>
      <c r="C123" s="1" t="s">
        <v>389</v>
      </c>
      <c r="D123" s="12">
        <v>55141</v>
      </c>
      <c r="E123" s="12">
        <f>'DR Threshold Analysis'!D123</f>
        <v>54797.9</v>
      </c>
      <c r="F123" t="str">
        <f>'DR Threshold Analysis'!AI123</f>
        <v>Metro/Urban</v>
      </c>
      <c r="G123" t="str">
        <f>'DR Threshold Analysis'!AK123</f>
        <v>Metro/Urban</v>
      </c>
      <c r="H123" t="str">
        <f>'DR Threshold Analysis'!AM123</f>
        <v>Metro/Urban</v>
      </c>
      <c r="J123" s="22"/>
      <c r="K123" s="22"/>
    </row>
    <row r="124" spans="2:16" x14ac:dyDescent="0.45">
      <c r="B124" s="1" t="s">
        <v>391</v>
      </c>
      <c r="C124" s="1" t="s">
        <v>392</v>
      </c>
      <c r="D124" s="12">
        <v>46219</v>
      </c>
      <c r="E124" s="12">
        <f>'DR Threshold Analysis'!D124</f>
        <v>46536.229999999996</v>
      </c>
      <c r="F124" t="str">
        <f>'DR Threshold Analysis'!AI124</f>
        <v>Rural</v>
      </c>
      <c r="G124" t="str">
        <f>'DR Threshold Analysis'!AK124</f>
        <v>Rural</v>
      </c>
      <c r="H124" t="str">
        <f>'DR Threshold Analysis'!AM124</f>
        <v>Rural</v>
      </c>
      <c r="J124" s="22"/>
      <c r="K124" s="22"/>
    </row>
    <row r="125" spans="2:16" x14ac:dyDescent="0.45">
      <c r="B125" s="1" t="s">
        <v>394</v>
      </c>
      <c r="C125" s="1" t="s">
        <v>395</v>
      </c>
      <c r="D125" s="12">
        <v>63024</v>
      </c>
      <c r="E125" s="12">
        <f>'DR Threshold Analysis'!D125</f>
        <v>63745.110000000008</v>
      </c>
      <c r="F125" t="str">
        <f>'DR Threshold Analysis'!AI125</f>
        <v>Rural</v>
      </c>
      <c r="G125" t="str">
        <f>'DR Threshold Analysis'!AK125</f>
        <v>Rural</v>
      </c>
      <c r="H125" t="str">
        <f>'DR Threshold Analysis'!AM125</f>
        <v>Rural</v>
      </c>
      <c r="J125" s="22"/>
      <c r="K125" s="22"/>
    </row>
    <row r="126" spans="2:16" x14ac:dyDescent="0.45">
      <c r="B126" s="1" t="s">
        <v>58</v>
      </c>
      <c r="C126" s="1" t="s">
        <v>59</v>
      </c>
      <c r="D126" s="12">
        <v>260382</v>
      </c>
      <c r="E126" s="12">
        <f>'DR Threshold Analysis'!D126</f>
        <v>273906.85000000003</v>
      </c>
      <c r="F126" t="str">
        <f>'DR Threshold Analysis'!AI126</f>
        <v>Metro/Urban</v>
      </c>
      <c r="G126" t="str">
        <f>'DR Threshold Analysis'!AK126</f>
        <v>Metro/Urban</v>
      </c>
      <c r="H126" t="str">
        <f>'DR Threshold Analysis'!AM126</f>
        <v>Metro/Urban</v>
      </c>
      <c r="J126" s="22"/>
      <c r="K126" s="22"/>
    </row>
    <row r="127" spans="2:16" x14ac:dyDescent="0.45">
      <c r="B127" s="1" t="s">
        <v>61</v>
      </c>
      <c r="C127" s="1" t="s">
        <v>62</v>
      </c>
      <c r="D127" s="12">
        <v>306824</v>
      </c>
      <c r="E127" s="12">
        <f>'DR Threshold Analysis'!D127</f>
        <v>329166.75</v>
      </c>
      <c r="F127" t="str">
        <f>'DR Threshold Analysis'!AI127</f>
        <v>Metro/Urban</v>
      </c>
      <c r="G127" t="str">
        <f>'DR Threshold Analysis'!AK127</f>
        <v>Metro/Urban</v>
      </c>
      <c r="H127" t="str">
        <f>'DR Threshold Analysis'!AM127</f>
        <v>Metro/Urban</v>
      </c>
      <c r="J127" s="22"/>
      <c r="K127" s="22"/>
    </row>
    <row r="128" spans="2:16" x14ac:dyDescent="0.45">
      <c r="B128" s="1" t="s">
        <v>397</v>
      </c>
      <c r="C128" s="1" t="s">
        <v>398</v>
      </c>
      <c r="D128" s="12">
        <v>27288</v>
      </c>
      <c r="E128" s="12">
        <f>'DR Threshold Analysis'!D128</f>
        <v>27367.61</v>
      </c>
      <c r="F128" t="str">
        <f>'DR Threshold Analysis'!AI128</f>
        <v>Rural</v>
      </c>
      <c r="G128" t="str">
        <f>'DR Threshold Analysis'!AK128</f>
        <v>Rural</v>
      </c>
      <c r="H128" t="str">
        <f>'DR Threshold Analysis'!AM128</f>
        <v>Rural</v>
      </c>
      <c r="J128" s="22"/>
      <c r="K128" s="22"/>
    </row>
    <row r="129" spans="2:16" x14ac:dyDescent="0.45">
      <c r="B129" s="1" t="s">
        <v>400</v>
      </c>
      <c r="C129" s="1" t="s">
        <v>401</v>
      </c>
      <c r="D129" s="12">
        <v>99433</v>
      </c>
      <c r="E129" s="12">
        <f>'DR Threshold Analysis'!D129</f>
        <v>97014.41</v>
      </c>
      <c r="F129" s="22" t="str">
        <f>'DR Threshold Analysis'!AI129</f>
        <v>Metro/Urban</v>
      </c>
      <c r="G129" s="20" t="s">
        <v>541</v>
      </c>
      <c r="H129" s="20" t="s">
        <v>541</v>
      </c>
      <c r="J129" s="24">
        <v>5980.4714999999997</v>
      </c>
      <c r="K129" s="25">
        <v>6.7619714771323167</v>
      </c>
      <c r="L129" s="11">
        <v>15681.9125</v>
      </c>
      <c r="M129" s="19">
        <v>17.731151303352046</v>
      </c>
      <c r="O129" t="s">
        <v>567</v>
      </c>
      <c r="P129" t="s">
        <v>568</v>
      </c>
    </row>
    <row r="130" spans="2:16" x14ac:dyDescent="0.45">
      <c r="B130" s="1" t="s">
        <v>403</v>
      </c>
      <c r="C130" s="1" t="s">
        <v>404</v>
      </c>
      <c r="D130" s="12">
        <v>130446</v>
      </c>
      <c r="E130" s="12">
        <f>'DR Threshold Analysis'!D130</f>
        <v>133273.25</v>
      </c>
      <c r="F130" s="22" t="str">
        <f>'DR Threshold Analysis'!AI130</f>
        <v>Metro/Urban</v>
      </c>
      <c r="G130" s="20" t="s">
        <v>541</v>
      </c>
      <c r="H130" s="20" t="s">
        <v>541</v>
      </c>
      <c r="J130" s="24">
        <v>6338.4674999999988</v>
      </c>
      <c r="K130" s="25">
        <v>6.8180432045752584</v>
      </c>
      <c r="L130" s="11">
        <v>26329.455000000002</v>
      </c>
      <c r="M130" s="19">
        <v>28.321571695827117</v>
      </c>
      <c r="O130" t="s">
        <v>567</v>
      </c>
      <c r="P130" t="s">
        <v>569</v>
      </c>
    </row>
    <row r="131" spans="2:16" x14ac:dyDescent="0.45">
      <c r="B131" s="1" t="s">
        <v>406</v>
      </c>
      <c r="C131" s="1" t="s">
        <v>407</v>
      </c>
      <c r="D131" s="12">
        <v>37539</v>
      </c>
      <c r="E131" s="12">
        <f>'DR Threshold Analysis'!D131</f>
        <v>36785.83</v>
      </c>
      <c r="F131" t="str">
        <f>'DR Threshold Analysis'!AI131</f>
        <v>Metro/Urban</v>
      </c>
      <c r="G131" t="str">
        <f>'DR Threshold Analysis'!AK131</f>
        <v>Metro/Urban</v>
      </c>
      <c r="H131" t="str">
        <f>'DR Threshold Analysis'!AM131</f>
        <v>Metro/Urban</v>
      </c>
      <c r="J131" s="22"/>
      <c r="K131" s="22"/>
    </row>
    <row r="132" spans="2:16" ht="28.5" x14ac:dyDescent="0.45">
      <c r="B132" s="1" t="s">
        <v>409</v>
      </c>
      <c r="C132" s="1" t="s">
        <v>574</v>
      </c>
      <c r="D132" s="12">
        <v>37064</v>
      </c>
      <c r="E132" s="12">
        <f>'DR Threshold Analysis'!D132</f>
        <v>35789.019999999997</v>
      </c>
      <c r="F132" t="str">
        <f>'DR Threshold Analysis'!AI132</f>
        <v>Remote</v>
      </c>
      <c r="G132" t="str">
        <f>'DR Threshold Analysis'!AK132</f>
        <v>Remote</v>
      </c>
      <c r="H132" t="str">
        <f>'DR Threshold Analysis'!AM132</f>
        <v>Remote</v>
      </c>
      <c r="J132" s="22"/>
      <c r="K132" s="22"/>
    </row>
    <row r="133" spans="2:16" x14ac:dyDescent="0.45">
      <c r="B133" s="1" t="s">
        <v>411</v>
      </c>
      <c r="C133" s="1" t="s">
        <v>412</v>
      </c>
      <c r="D133" s="12">
        <v>107233</v>
      </c>
      <c r="E133" s="12">
        <f>'DR Threshold Analysis'!D133</f>
        <v>107498.11</v>
      </c>
      <c r="F133" t="str">
        <f>'DR Threshold Analysis'!AI133</f>
        <v>Metro/Urban</v>
      </c>
      <c r="G133" s="22" t="str">
        <f>'DR Threshold Analysis'!AK133</f>
        <v>Metro/Urban</v>
      </c>
      <c r="H133" s="20" t="str">
        <f>'DR Threshold Analysis'!AM133</f>
        <v>Mix</v>
      </c>
      <c r="J133" s="24"/>
      <c r="K133" s="24"/>
      <c r="L133" s="11">
        <v>4640.3070000000007</v>
      </c>
      <c r="M133" s="19">
        <v>12.578855258941918</v>
      </c>
      <c r="P133" t="s">
        <v>570</v>
      </c>
    </row>
    <row r="134" spans="2:16" x14ac:dyDescent="0.45">
      <c r="B134" s="1" t="s">
        <v>414</v>
      </c>
      <c r="C134" s="1" t="s">
        <v>415</v>
      </c>
      <c r="D134" s="12">
        <v>189709</v>
      </c>
      <c r="E134" s="12">
        <f>'DR Threshold Analysis'!D134</f>
        <v>200077.32</v>
      </c>
      <c r="F134" t="str">
        <f>'DR Threshold Analysis'!AI134</f>
        <v>Metro/Urban</v>
      </c>
      <c r="G134" t="str">
        <f>'DR Threshold Analysis'!AK134</f>
        <v>Metro/Urban</v>
      </c>
      <c r="H134" t="str">
        <f>'DR Threshold Analysis'!AM134</f>
        <v>Metro/Urban</v>
      </c>
      <c r="J134" s="22"/>
      <c r="K134" s="22"/>
    </row>
    <row r="135" spans="2:16" x14ac:dyDescent="0.45">
      <c r="B135" s="1" t="s">
        <v>417</v>
      </c>
      <c r="C135" s="1" t="s">
        <v>418</v>
      </c>
      <c r="D135" s="12">
        <v>51420</v>
      </c>
      <c r="E135" s="12">
        <f>'DR Threshold Analysis'!D135</f>
        <v>50097.100000000006</v>
      </c>
      <c r="F135" t="str">
        <f>'DR Threshold Analysis'!AI135</f>
        <v>Rural</v>
      </c>
      <c r="G135" t="str">
        <f>'DR Threshold Analysis'!AK135</f>
        <v>Rural</v>
      </c>
      <c r="H135" t="str">
        <f>'DR Threshold Analysis'!AM135</f>
        <v>Rural</v>
      </c>
      <c r="J135" s="22"/>
      <c r="K135" s="22"/>
    </row>
    <row r="136" spans="2:16" x14ac:dyDescent="0.45">
      <c r="B136" s="1" t="s">
        <v>420</v>
      </c>
      <c r="C136" s="1" t="s">
        <v>421</v>
      </c>
      <c r="D136" s="12">
        <v>120208</v>
      </c>
      <c r="E136" s="12">
        <f>'DR Threshold Analysis'!D136</f>
        <v>133362.03</v>
      </c>
      <c r="F136" t="str">
        <f>'DR Threshold Analysis'!AI136</f>
        <v>Metro/Urban</v>
      </c>
      <c r="G136" s="22" t="str">
        <f>'DR Threshold Analysis'!AK136</f>
        <v>Metro/Urban</v>
      </c>
      <c r="H136" s="20" t="s">
        <v>541</v>
      </c>
      <c r="J136" s="22"/>
      <c r="K136" s="22"/>
    </row>
    <row r="137" spans="2:16" x14ac:dyDescent="0.45">
      <c r="B137" s="1" t="s">
        <v>423</v>
      </c>
      <c r="C137" s="1" t="s">
        <v>424</v>
      </c>
      <c r="D137" s="12">
        <v>45478</v>
      </c>
      <c r="E137" s="12">
        <f>'DR Threshold Analysis'!D137</f>
        <v>45246.61</v>
      </c>
      <c r="F137" t="str">
        <f>'DR Threshold Analysis'!AI137</f>
        <v>Rural</v>
      </c>
      <c r="G137" t="str">
        <f>'DR Threshold Analysis'!AK137</f>
        <v>Rural</v>
      </c>
      <c r="H137" t="str">
        <f>'DR Threshold Analysis'!AM137</f>
        <v>Rural</v>
      </c>
      <c r="J137" s="22"/>
      <c r="K137" s="22"/>
    </row>
    <row r="138" spans="2:16" x14ac:dyDescent="0.45">
      <c r="B138" s="1" t="s">
        <v>64</v>
      </c>
      <c r="C138" s="1" t="s">
        <v>65</v>
      </c>
      <c r="D138" s="12">
        <v>1416856</v>
      </c>
      <c r="E138" s="12">
        <f>'DR Threshold Analysis'!D138</f>
        <v>1494793.21</v>
      </c>
      <c r="F138" t="str">
        <f>'DR Threshold Analysis'!AI138</f>
        <v>Metro/Urban</v>
      </c>
      <c r="G138" t="str">
        <f>'DR Threshold Analysis'!AK138</f>
        <v>Metro/Urban</v>
      </c>
      <c r="H138" t="str">
        <f>'DR Threshold Analysis'!AM138</f>
        <v>Metro/Urban</v>
      </c>
      <c r="J138" s="22"/>
      <c r="K138" s="22"/>
    </row>
    <row r="139" spans="2:16" x14ac:dyDescent="0.45">
      <c r="B139" s="1" t="s">
        <v>426</v>
      </c>
      <c r="C139" s="1" t="s">
        <v>427</v>
      </c>
      <c r="D139" s="12">
        <v>206387</v>
      </c>
      <c r="E139" s="12">
        <f>'DR Threshold Analysis'!D139</f>
        <v>210096.86000000002</v>
      </c>
      <c r="F139" t="str">
        <f>'DR Threshold Analysis'!AI139</f>
        <v>Metro/Urban</v>
      </c>
      <c r="G139" s="22" t="str">
        <f>'DR Threshold Analysis'!AK139</f>
        <v>Metro/Urban</v>
      </c>
      <c r="H139" s="20" t="str">
        <f>'DR Threshold Analysis'!AM139</f>
        <v>Mix</v>
      </c>
      <c r="J139" s="24"/>
      <c r="K139" s="24"/>
      <c r="L139" s="11">
        <v>20226.706000000006</v>
      </c>
      <c r="M139" s="19">
        <v>19.399241071706882</v>
      </c>
      <c r="P139" t="s">
        <v>571</v>
      </c>
    </row>
    <row r="140" spans="2:16" x14ac:dyDescent="0.45">
      <c r="B140" s="1" t="s">
        <v>429</v>
      </c>
      <c r="C140" s="1" t="s">
        <v>430</v>
      </c>
      <c r="D140" s="12">
        <v>54340</v>
      </c>
      <c r="E140" s="12">
        <f>'DR Threshold Analysis'!D140</f>
        <v>54253.36</v>
      </c>
      <c r="F140" t="str">
        <f>'DR Threshold Analysis'!AI140</f>
        <v>Rural</v>
      </c>
      <c r="G140" t="str">
        <f>'DR Threshold Analysis'!AK140</f>
        <v>Rural</v>
      </c>
      <c r="H140" t="str">
        <f>'DR Threshold Analysis'!AM140</f>
        <v>Rural</v>
      </c>
      <c r="J140" s="22"/>
      <c r="K140" s="22"/>
    </row>
    <row r="141" spans="2:16" x14ac:dyDescent="0.45">
      <c r="B141" s="1" t="s">
        <v>432</v>
      </c>
      <c r="C141" s="1" t="s">
        <v>433</v>
      </c>
      <c r="D141" s="12">
        <v>40145</v>
      </c>
      <c r="E141" s="12">
        <f>'DR Threshold Analysis'!D141</f>
        <v>39827.11</v>
      </c>
      <c r="F141" t="str">
        <f>'DR Threshold Analysis'!AI141</f>
        <v>Rural</v>
      </c>
      <c r="G141" t="str">
        <f>'DR Threshold Analysis'!AK141</f>
        <v>Rural</v>
      </c>
      <c r="H141" t="str">
        <f>'DR Threshold Analysis'!AM141</f>
        <v>Rural</v>
      </c>
      <c r="J141" s="22"/>
      <c r="K141" s="22"/>
    </row>
    <row r="142" spans="2:16" x14ac:dyDescent="0.45">
      <c r="B142" s="1" t="s">
        <v>435</v>
      </c>
      <c r="C142" s="1" t="s">
        <v>436</v>
      </c>
      <c r="D142" s="12">
        <v>15396</v>
      </c>
      <c r="E142" s="12">
        <f>'DR Threshold Analysis'!D142</f>
        <v>14897.03</v>
      </c>
      <c r="F142" t="str">
        <f>'DR Threshold Analysis'!AI142</f>
        <v>Rural</v>
      </c>
      <c r="G142" t="str">
        <f>'DR Threshold Analysis'!AK142</f>
        <v>Rural</v>
      </c>
      <c r="H142" t="str">
        <f>'DR Threshold Analysis'!AM142</f>
        <v>Rural</v>
      </c>
      <c r="J142" s="22"/>
      <c r="K142" s="22"/>
    </row>
    <row r="143" spans="2:16" x14ac:dyDescent="0.45">
      <c r="B143" s="1" t="s">
        <v>67</v>
      </c>
      <c r="C143" s="1" t="s">
        <v>68</v>
      </c>
      <c r="D143" s="12">
        <v>1325857</v>
      </c>
      <c r="E143" s="12">
        <f>'DR Threshold Analysis'!D143</f>
        <v>1422157.03</v>
      </c>
      <c r="F143" t="str">
        <f>'DR Threshold Analysis'!AI143</f>
        <v>Metro/Urban</v>
      </c>
      <c r="G143" t="str">
        <f>'DR Threshold Analysis'!AK143</f>
        <v>Metro/Urban</v>
      </c>
      <c r="H143" t="str">
        <f>'DR Threshold Analysis'!AM143</f>
        <v>Metro/Urban</v>
      </c>
      <c r="J143" s="22"/>
      <c r="K143" s="22"/>
    </row>
    <row r="144" spans="2:16" x14ac:dyDescent="0.45">
      <c r="B144" s="1" t="s">
        <v>438</v>
      </c>
      <c r="C144" s="1" t="s">
        <v>439</v>
      </c>
      <c r="D144" s="12">
        <v>49814</v>
      </c>
      <c r="E144" s="12">
        <f>'DR Threshold Analysis'!D144</f>
        <v>48701.049999999996</v>
      </c>
      <c r="F144" t="str">
        <f>'DR Threshold Analysis'!AI144</f>
        <v>Rural</v>
      </c>
      <c r="G144" t="str">
        <f>'DR Threshold Analysis'!AK144</f>
        <v>Rural</v>
      </c>
      <c r="H144" t="str">
        <f>'DR Threshold Analysis'!AM144</f>
        <v>Rural</v>
      </c>
      <c r="J144" s="22"/>
      <c r="K144" s="22"/>
    </row>
    <row r="145" spans="2:16" x14ac:dyDescent="0.45">
      <c r="B145" s="1" t="s">
        <v>441</v>
      </c>
      <c r="C145" s="1" t="s">
        <v>442</v>
      </c>
      <c r="D145" s="12">
        <v>83631</v>
      </c>
      <c r="E145" s="12">
        <f>'DR Threshold Analysis'!D145</f>
        <v>82643.23000000001</v>
      </c>
      <c r="F145" t="str">
        <f>'DR Threshold Analysis'!AI145</f>
        <v>Rural</v>
      </c>
      <c r="G145" t="str">
        <f>'DR Threshold Analysis'!AK145</f>
        <v>Rural</v>
      </c>
      <c r="H145" t="str">
        <f>'DR Threshold Analysis'!AM145</f>
        <v>Rural</v>
      </c>
      <c r="J145" s="22"/>
      <c r="K145" s="22"/>
    </row>
    <row r="146" spans="2:16" x14ac:dyDescent="0.45">
      <c r="B146" s="1" t="s">
        <v>444</v>
      </c>
      <c r="C146" s="1" t="s">
        <v>445</v>
      </c>
      <c r="D146" s="12">
        <v>32669</v>
      </c>
      <c r="E146" s="12">
        <f>'DR Threshold Analysis'!D146</f>
        <v>31929.05</v>
      </c>
      <c r="F146" t="str">
        <f>'DR Threshold Analysis'!AI146</f>
        <v>Rural</v>
      </c>
      <c r="G146" t="str">
        <f>'DR Threshold Analysis'!AK146</f>
        <v>Rural</v>
      </c>
      <c r="H146" t="str">
        <f>'DR Threshold Analysis'!AM146</f>
        <v>Rural</v>
      </c>
      <c r="J146" s="22"/>
      <c r="K146" s="22"/>
    </row>
    <row r="147" spans="2:16" x14ac:dyDescent="0.45">
      <c r="B147" s="1" t="s">
        <v>447</v>
      </c>
      <c r="C147" s="1" t="s">
        <v>448</v>
      </c>
      <c r="D147" s="12">
        <v>23437</v>
      </c>
      <c r="E147" s="12">
        <f>'DR Threshold Analysis'!D147</f>
        <v>22552.86</v>
      </c>
      <c r="F147" t="str">
        <f>'DR Threshold Analysis'!AI147</f>
        <v>Rural</v>
      </c>
      <c r="G147" t="str">
        <f>'DR Threshold Analysis'!AK147</f>
        <v>Rural</v>
      </c>
      <c r="H147" t="str">
        <f>'DR Threshold Analysis'!AM147</f>
        <v>Rural</v>
      </c>
      <c r="J147" s="22"/>
      <c r="K147" s="22"/>
    </row>
    <row r="148" spans="2:16" x14ac:dyDescent="0.45">
      <c r="B148" s="1" t="s">
        <v>450</v>
      </c>
      <c r="C148" s="1" t="s">
        <v>451</v>
      </c>
      <c r="D148" s="12">
        <v>73953</v>
      </c>
      <c r="E148" s="12">
        <f>'DR Threshold Analysis'!D148</f>
        <v>74575.87999999999</v>
      </c>
      <c r="F148" t="str">
        <f>'DR Threshold Analysis'!AI148</f>
        <v>Metro/Urban</v>
      </c>
      <c r="G148" t="str">
        <f>'DR Threshold Analysis'!AK148</f>
        <v>Metro/Urban</v>
      </c>
      <c r="H148" t="str">
        <f>'DR Threshold Analysis'!AM148</f>
        <v>Metro/Urban</v>
      </c>
      <c r="J148" s="22"/>
      <c r="K148" s="22"/>
    </row>
    <row r="149" spans="2:16" x14ac:dyDescent="0.45">
      <c r="B149" s="1" t="s">
        <v>453</v>
      </c>
      <c r="C149" s="1" t="s">
        <v>454</v>
      </c>
      <c r="D149" s="12">
        <v>86745</v>
      </c>
      <c r="E149" s="12">
        <f>'DR Threshold Analysis'!D149</f>
        <v>85794.659999999989</v>
      </c>
      <c r="F149" t="str">
        <f>'DR Threshold Analysis'!AI149</f>
        <v>Rural</v>
      </c>
      <c r="G149" t="str">
        <f>'DR Threshold Analysis'!AK149</f>
        <v>Rural</v>
      </c>
      <c r="H149" t="str">
        <f>'DR Threshold Analysis'!AM149</f>
        <v>Rural</v>
      </c>
      <c r="J149" s="22"/>
      <c r="K149" s="22"/>
    </row>
    <row r="150" spans="2:16" x14ac:dyDescent="0.45">
      <c r="B150" s="1" t="s">
        <v>456</v>
      </c>
      <c r="C150" s="1" t="s">
        <v>457</v>
      </c>
      <c r="D150" s="12">
        <v>110027</v>
      </c>
      <c r="E150" s="12">
        <f>'DR Threshold Analysis'!D150</f>
        <v>110888.4</v>
      </c>
      <c r="F150" t="str">
        <f>'DR Threshold Analysis'!AI150</f>
        <v>Metro/Urban</v>
      </c>
      <c r="G150" t="str">
        <f>'DR Threshold Analysis'!AK150</f>
        <v>Metro/Urban</v>
      </c>
      <c r="H150" t="str">
        <f>'DR Threshold Analysis'!AM150</f>
        <v>Metro/Urban</v>
      </c>
      <c r="J150" s="22"/>
      <c r="K150" s="22"/>
    </row>
    <row r="151" spans="2:16" x14ac:dyDescent="0.45">
      <c r="B151" s="1" t="s">
        <v>459</v>
      </c>
      <c r="C151" s="1" t="s">
        <v>460</v>
      </c>
      <c r="D151" s="12">
        <v>60371</v>
      </c>
      <c r="E151" s="12">
        <f>'DR Threshold Analysis'!D151</f>
        <v>65811.19</v>
      </c>
      <c r="F151" t="str">
        <f>'DR Threshold Analysis'!AI151</f>
        <v>Rural</v>
      </c>
      <c r="G151" t="str">
        <f>'DR Threshold Analysis'!AK151</f>
        <v>Rural</v>
      </c>
      <c r="H151" t="str">
        <f>'DR Threshold Analysis'!AM151</f>
        <v>Rural</v>
      </c>
      <c r="J151" s="22"/>
      <c r="K151" s="22"/>
    </row>
    <row r="152" spans="2:16" x14ac:dyDescent="0.45">
      <c r="B152" s="1" t="s">
        <v>462</v>
      </c>
      <c r="C152" s="1" t="s">
        <v>463</v>
      </c>
      <c r="D152" s="12">
        <v>78941</v>
      </c>
      <c r="E152" s="12">
        <f>'DR Threshold Analysis'!D152</f>
        <v>82407.94</v>
      </c>
      <c r="F152" t="str">
        <f>'DR Threshold Analysis'!AI152</f>
        <v>Rural</v>
      </c>
      <c r="G152" t="str">
        <f>'DR Threshold Analysis'!AK152</f>
        <v>Rural</v>
      </c>
      <c r="H152" t="str">
        <f>'DR Threshold Analysis'!AM152</f>
        <v>Rural</v>
      </c>
      <c r="J152" s="22"/>
      <c r="K152" s="22"/>
    </row>
    <row r="153" spans="2:16" x14ac:dyDescent="0.45">
      <c r="B153" s="1" t="s">
        <v>70</v>
      </c>
      <c r="C153" s="1" t="s">
        <v>71</v>
      </c>
      <c r="D153" s="12">
        <v>362815</v>
      </c>
      <c r="E153" s="12">
        <f>'DR Threshold Analysis'!D153</f>
        <v>404879.86</v>
      </c>
      <c r="F153" t="str">
        <f>'DR Threshold Analysis'!AI153</f>
        <v>Metro/Urban</v>
      </c>
      <c r="G153" t="str">
        <f>'DR Threshold Analysis'!AK153</f>
        <v>Metro/Urban</v>
      </c>
      <c r="H153" t="str">
        <f>'DR Threshold Analysis'!AM153</f>
        <v>Metro/Urban</v>
      </c>
      <c r="J153" s="22"/>
      <c r="K153" s="22"/>
    </row>
    <row r="154" spans="2:16" x14ac:dyDescent="0.45">
      <c r="B154" s="1" t="s">
        <v>73</v>
      </c>
      <c r="C154" s="1" t="s">
        <v>74</v>
      </c>
      <c r="D154" s="12">
        <v>2731567</v>
      </c>
      <c r="E154" s="12">
        <f>'DR Threshold Analysis'!D154</f>
        <v>2936667.4699999997</v>
      </c>
      <c r="F154" t="str">
        <f>'DR Threshold Analysis'!AI154</f>
        <v>Metro/Urban</v>
      </c>
      <c r="G154" t="str">
        <f>'DR Threshold Analysis'!AK154</f>
        <v>Metro/Urban</v>
      </c>
      <c r="H154" t="str">
        <f>'DR Threshold Analysis'!AM154</f>
        <v>Metro/Urban</v>
      </c>
      <c r="J154" s="22"/>
      <c r="K154" s="22"/>
    </row>
    <row r="155" spans="2:16" x14ac:dyDescent="0.45">
      <c r="B155" s="1" t="s">
        <v>465</v>
      </c>
      <c r="C155" s="1" t="s">
        <v>466</v>
      </c>
      <c r="D155" s="12">
        <v>26093</v>
      </c>
      <c r="E155" s="12">
        <f>'DR Threshold Analysis'!D155</f>
        <v>28328.47</v>
      </c>
      <c r="F155" s="22" t="str">
        <f>'DR Threshold Analysis'!AI155</f>
        <v>Metro/Urban</v>
      </c>
      <c r="G155" s="20" t="s">
        <v>541</v>
      </c>
      <c r="H155" s="20" t="s">
        <v>541</v>
      </c>
      <c r="J155" s="24">
        <v>2717.4804999999997</v>
      </c>
      <c r="K155" s="25">
        <v>10.141108898565045</v>
      </c>
      <c r="L155" s="11">
        <v>5550.3275000000003</v>
      </c>
      <c r="M155" s="19">
        <v>20.71274314579269</v>
      </c>
      <c r="O155" t="s">
        <v>555</v>
      </c>
      <c r="P155" t="s">
        <v>572</v>
      </c>
    </row>
    <row r="156" spans="2:16" x14ac:dyDescent="0.45">
      <c r="B156" s="1" t="s">
        <v>76</v>
      </c>
      <c r="C156" s="1" t="s">
        <v>77</v>
      </c>
      <c r="D156" s="12">
        <v>458861</v>
      </c>
      <c r="E156" s="12">
        <f>'DR Threshold Analysis'!D156</f>
        <v>495557.11</v>
      </c>
      <c r="F156" t="str">
        <f>'DR Threshold Analysis'!AI156</f>
        <v>Metro/Urban</v>
      </c>
      <c r="G156" t="str">
        <f>'DR Threshold Analysis'!AK156</f>
        <v>Metro/Urban</v>
      </c>
      <c r="H156" t="str">
        <f>'DR Threshold Analysis'!AM156</f>
        <v>Metro/Urban</v>
      </c>
      <c r="J156" s="22"/>
      <c r="K156" s="22"/>
    </row>
    <row r="157" spans="2:16" x14ac:dyDescent="0.45">
      <c r="B157" s="1" t="s">
        <v>468</v>
      </c>
      <c r="C157" s="1" t="s">
        <v>469</v>
      </c>
      <c r="D157" s="12">
        <v>194922</v>
      </c>
      <c r="E157" s="12">
        <f>'DR Threshold Analysis'!D157</f>
        <v>212767.21999999997</v>
      </c>
      <c r="F157" t="str">
        <f>'DR Threshold Analysis'!AI157</f>
        <v>Metro/Urban</v>
      </c>
      <c r="G157" s="22" t="str">
        <f>'DR Threshold Analysis'!AK157</f>
        <v>Metro/Urban</v>
      </c>
      <c r="H157" s="20" t="str">
        <f>'DR Threshold Analysis'!AM157</f>
        <v>Mix</v>
      </c>
      <c r="J157" s="24"/>
      <c r="K157" s="24"/>
      <c r="L157" s="11">
        <v>1396.6019999999844</v>
      </c>
      <c r="M157" s="19">
        <v>1.6145036460378472</v>
      </c>
      <c r="P157" t="s">
        <v>573</v>
      </c>
    </row>
    <row r="158" spans="2:16" x14ac:dyDescent="0.45">
      <c r="B158" s="1" t="s">
        <v>471</v>
      </c>
      <c r="C158" s="1" t="s">
        <v>472</v>
      </c>
      <c r="D158" s="12">
        <v>118732</v>
      </c>
      <c r="E158" s="12">
        <f>'DR Threshold Analysis'!D158</f>
        <v>127630.01999999999</v>
      </c>
      <c r="F158" t="str">
        <f>'DR Threshold Analysis'!AI158</f>
        <v>Metro/Urban</v>
      </c>
      <c r="G158" s="22" t="str">
        <f>'DR Threshold Analysis'!AK158</f>
        <v>Metro/Urban</v>
      </c>
      <c r="H158" t="str">
        <f>'DR Threshold Analysis'!AM158</f>
        <v>Metro/Urban</v>
      </c>
      <c r="J158" s="22"/>
      <c r="K158" s="22"/>
    </row>
    <row r="159" spans="2:16" x14ac:dyDescent="0.45">
      <c r="B159" s="1" t="s">
        <v>474</v>
      </c>
      <c r="C159" s="1" t="s">
        <v>475</v>
      </c>
      <c r="D159" s="12">
        <v>26865</v>
      </c>
      <c r="E159" s="12">
        <f>'DR Threshold Analysis'!D159</f>
        <v>28890.6</v>
      </c>
      <c r="F159" t="str">
        <f>'DR Threshold Analysis'!AI159</f>
        <v>Rural</v>
      </c>
      <c r="G159" t="str">
        <f>'DR Threshold Analysis'!AK159</f>
        <v>Rural</v>
      </c>
      <c r="H159" t="str">
        <f>'DR Threshold Analysis'!AM159</f>
        <v>Rural</v>
      </c>
      <c r="J159" s="22"/>
      <c r="K159" s="22"/>
    </row>
    <row r="160" spans="2:16" x14ac:dyDescent="0.45">
      <c r="B160" s="1" t="s">
        <v>477</v>
      </c>
      <c r="C160" s="1" t="s">
        <v>478</v>
      </c>
      <c r="D160" s="12">
        <v>74365</v>
      </c>
      <c r="E160" s="12">
        <f>'DR Threshold Analysis'!D160</f>
        <v>84522.76999999999</v>
      </c>
      <c r="F160" t="str">
        <f>'DR Threshold Analysis'!AI160</f>
        <v>Rural</v>
      </c>
      <c r="G160" t="str">
        <f>'DR Threshold Analysis'!AK160</f>
        <v>Rural</v>
      </c>
      <c r="H160" t="str">
        <f>'DR Threshold Analysis'!AM160</f>
        <v>Rural</v>
      </c>
      <c r="J160" s="22"/>
      <c r="K160" s="22"/>
    </row>
    <row r="161" spans="2:11" x14ac:dyDescent="0.45">
      <c r="B161" s="1" t="s">
        <v>480</v>
      </c>
      <c r="C161" s="1" t="s">
        <v>481</v>
      </c>
      <c r="D161" s="12">
        <v>15649</v>
      </c>
      <c r="E161" s="12">
        <f>'DR Threshold Analysis'!D161</f>
        <v>16044.220000000001</v>
      </c>
      <c r="F161" t="str">
        <f>'DR Threshold Analysis'!AI161</f>
        <v>Rural</v>
      </c>
      <c r="G161" t="str">
        <f>'DR Threshold Analysis'!AK161</f>
        <v>Rural</v>
      </c>
      <c r="H161" t="str">
        <f>'DR Threshold Analysis'!AM161</f>
        <v>Rural</v>
      </c>
      <c r="J161" s="22"/>
      <c r="K161" s="22"/>
    </row>
    <row r="162" spans="2:11" x14ac:dyDescent="0.45">
      <c r="B162" s="1" t="s">
        <v>483</v>
      </c>
      <c r="C162" s="1" t="s">
        <v>484</v>
      </c>
      <c r="D162" s="12">
        <v>106972</v>
      </c>
      <c r="E162" s="12">
        <f>'DR Threshold Analysis'!D162</f>
        <v>117562.20999999999</v>
      </c>
      <c r="F162" t="str">
        <f>'DR Threshold Analysis'!AI162</f>
        <v>Metro/Urban</v>
      </c>
      <c r="G162" t="str">
        <f>'DR Threshold Analysis'!AK162</f>
        <v>Metro/Urban</v>
      </c>
      <c r="H162" t="str">
        <f>'DR Threshold Analysis'!AM162</f>
        <v>Metro/Urban</v>
      </c>
      <c r="J162" s="22"/>
      <c r="K162" s="22"/>
    </row>
    <row r="163" spans="2:11" x14ac:dyDescent="0.45">
      <c r="B163" s="1" t="s">
        <v>486</v>
      </c>
      <c r="C163" s="1" t="s">
        <v>487</v>
      </c>
      <c r="D163" s="12">
        <v>15070</v>
      </c>
      <c r="E163" s="12">
        <f>'DR Threshold Analysis'!D163</f>
        <v>15537.529999999999</v>
      </c>
      <c r="F163" t="str">
        <f>'DR Threshold Analysis'!AI163</f>
        <v>Rural</v>
      </c>
      <c r="G163" t="str">
        <f>'DR Threshold Analysis'!AK163</f>
        <v>Rural</v>
      </c>
      <c r="H163" t="str">
        <f>'DR Threshold Analysis'!AM163</f>
        <v>Rural</v>
      </c>
      <c r="J163" s="22"/>
      <c r="K163" s="22"/>
    </row>
    <row r="164" spans="2:11" x14ac:dyDescent="0.45">
      <c r="B164" s="1" t="s">
        <v>489</v>
      </c>
      <c r="C164" s="1" t="s">
        <v>490</v>
      </c>
      <c r="D164" s="12">
        <v>51024</v>
      </c>
      <c r="E164" s="12">
        <f>'DR Threshold Analysis'!D164</f>
        <v>56664.25</v>
      </c>
      <c r="F164" t="str">
        <f>'DR Threshold Analysis'!AI164</f>
        <v>Rural</v>
      </c>
      <c r="G164" t="str">
        <f>'DR Threshold Analysis'!AK164</f>
        <v>Rural</v>
      </c>
      <c r="H164" t="str">
        <f>'DR Threshold Analysis'!AM164</f>
        <v>Rural</v>
      </c>
      <c r="J164" s="22"/>
      <c r="K164" s="22"/>
    </row>
    <row r="165" spans="2:11" x14ac:dyDescent="0.45">
      <c r="B165" s="1" t="s">
        <v>492</v>
      </c>
      <c r="C165" s="1" t="s">
        <v>493</v>
      </c>
      <c r="D165" s="12">
        <v>6854</v>
      </c>
      <c r="E165" s="12">
        <f>'DR Threshold Analysis'!D165</f>
        <v>7335.15</v>
      </c>
      <c r="F165" t="str">
        <f>'DR Threshold Analysis'!AI165</f>
        <v>Rural</v>
      </c>
      <c r="G165" t="str">
        <f>'DR Threshold Analysis'!AK165</f>
        <v>Rural</v>
      </c>
      <c r="H165" t="str">
        <f>'DR Threshold Analysis'!AM165</f>
        <v>Rural</v>
      </c>
      <c r="J165" s="22"/>
      <c r="K165" s="22"/>
    </row>
    <row r="166" spans="2:11" x14ac:dyDescent="0.45">
      <c r="B166" s="1" t="s">
        <v>495</v>
      </c>
      <c r="C166" s="1" t="s">
        <v>496</v>
      </c>
      <c r="D166" s="12">
        <v>38440</v>
      </c>
      <c r="E166" s="12">
        <f>'DR Threshold Analysis'!D166</f>
        <v>39354.18</v>
      </c>
      <c r="F166" t="str">
        <f>'DR Threshold Analysis'!AI166</f>
        <v>Rural</v>
      </c>
      <c r="G166" t="str">
        <f>'DR Threshold Analysis'!AK166</f>
        <v>Rural</v>
      </c>
      <c r="H166" t="str">
        <f>'DR Threshold Analysis'!AM166</f>
        <v>Rural</v>
      </c>
      <c r="J166" s="22"/>
      <c r="K166" s="22"/>
    </row>
    <row r="167" spans="2:11" x14ac:dyDescent="0.45">
      <c r="B167" s="1" t="s">
        <v>498</v>
      </c>
      <c r="C167" s="1" t="s">
        <v>499</v>
      </c>
      <c r="D167" s="12">
        <v>23558</v>
      </c>
      <c r="E167" s="12">
        <f>'DR Threshold Analysis'!D167</f>
        <v>23585.11</v>
      </c>
      <c r="F167" t="str">
        <f>'DR Threshold Analysis'!AI167</f>
        <v>Rural</v>
      </c>
      <c r="G167" t="str">
        <f>'DR Threshold Analysis'!AK167</f>
        <v>Rural</v>
      </c>
      <c r="H167" t="str">
        <f>'DR Threshold Analysis'!AM167</f>
        <v>Rural</v>
      </c>
      <c r="J167" s="22"/>
      <c r="K167" s="22"/>
    </row>
    <row r="168" spans="2:11" x14ac:dyDescent="0.45">
      <c r="B168" s="1" t="s">
        <v>501</v>
      </c>
      <c r="C168" s="1" t="s">
        <v>502</v>
      </c>
      <c r="D168" s="12">
        <v>56234</v>
      </c>
      <c r="E168" s="12">
        <f>'DR Threshold Analysis'!D168</f>
        <v>56497.62</v>
      </c>
      <c r="F168" t="str">
        <f>'DR Threshold Analysis'!AI168</f>
        <v>Remote</v>
      </c>
      <c r="G168" t="str">
        <f>'DR Threshold Analysis'!AK168</f>
        <v>Remote</v>
      </c>
      <c r="H168" t="str">
        <f>'DR Threshold Analysis'!AM168</f>
        <v>Remote</v>
      </c>
      <c r="J168" s="22"/>
      <c r="K168" s="22"/>
    </row>
    <row r="169" spans="2:11" x14ac:dyDescent="0.45">
      <c r="B169" s="1" t="s">
        <v>504</v>
      </c>
      <c r="C169" s="1" t="s">
        <v>505</v>
      </c>
      <c r="D169" s="12">
        <v>94607</v>
      </c>
      <c r="E169" s="12">
        <f>'DR Threshold Analysis'!D169</f>
        <v>97082.62</v>
      </c>
      <c r="F169" t="str">
        <f>'DR Threshold Analysis'!AI169</f>
        <v>Metro/Urban</v>
      </c>
      <c r="G169" t="str">
        <f>'DR Threshold Analysis'!AK169</f>
        <v>Metro/Urban</v>
      </c>
      <c r="H169" t="str">
        <f>'DR Threshold Analysis'!AM169</f>
        <v>Metro/Urban</v>
      </c>
      <c r="J169" s="22"/>
      <c r="K169" s="22"/>
    </row>
    <row r="170" spans="2:11" x14ac:dyDescent="0.45">
      <c r="B170" s="1" t="s">
        <v>507</v>
      </c>
      <c r="C170" s="1" t="s">
        <v>508</v>
      </c>
      <c r="D170" s="12">
        <v>37646</v>
      </c>
      <c r="E170" s="12">
        <f>'DR Threshold Analysis'!D170</f>
        <v>37569.06</v>
      </c>
      <c r="F170" t="str">
        <f>'DR Threshold Analysis'!AI170</f>
        <v>Rural</v>
      </c>
      <c r="G170" t="str">
        <f>'DR Threshold Analysis'!AK170</f>
        <v>Rural</v>
      </c>
      <c r="H170" t="str">
        <f>'DR Threshold Analysis'!AM170</f>
        <v>Rural</v>
      </c>
      <c r="J170" s="22"/>
      <c r="K170" s="22"/>
    </row>
    <row r="171" spans="2:11" x14ac:dyDescent="0.45">
      <c r="B171" s="1" t="s">
        <v>510</v>
      </c>
      <c r="C171" s="1" t="s">
        <v>511</v>
      </c>
      <c r="D171" s="12">
        <v>68387</v>
      </c>
      <c r="E171" s="12">
        <f>'DR Threshold Analysis'!D171</f>
        <v>65881</v>
      </c>
      <c r="F171" t="str">
        <f>'DR Threshold Analysis'!AI171</f>
        <v>Rural</v>
      </c>
      <c r="G171" t="str">
        <f>'DR Threshold Analysis'!AK171</f>
        <v>Rural</v>
      </c>
      <c r="H171" t="str">
        <f>'DR Threshold Analysis'!AM171</f>
        <v>Rural</v>
      </c>
      <c r="J171" s="22"/>
      <c r="K171" s="22"/>
    </row>
    <row r="172" spans="2:11" x14ac:dyDescent="0.45">
      <c r="B172" s="1" t="s">
        <v>513</v>
      </c>
      <c r="C172" s="1" t="s">
        <v>514</v>
      </c>
      <c r="D172" s="12">
        <v>35928</v>
      </c>
      <c r="E172" s="12">
        <f>'DR Threshold Analysis'!D172</f>
        <v>40045.33</v>
      </c>
      <c r="F172" t="str">
        <f>'DR Threshold Analysis'!AI172</f>
        <v>Remote</v>
      </c>
      <c r="G172" t="str">
        <f>'DR Threshold Analysis'!AK172</f>
        <v>Remote</v>
      </c>
      <c r="H172" t="str">
        <f>'DR Threshold Analysis'!AM172</f>
        <v>Remote</v>
      </c>
      <c r="J172" s="22"/>
      <c r="K172" s="22"/>
    </row>
    <row r="173" spans="2:11" x14ac:dyDescent="0.45">
      <c r="B173" s="1" t="s">
        <v>516</v>
      </c>
      <c r="C173" s="1" t="s">
        <v>517</v>
      </c>
      <c r="D173" s="12">
        <v>35975</v>
      </c>
      <c r="E173" s="12">
        <f>'DR Threshold Analysis'!D173</f>
        <v>36839.97</v>
      </c>
      <c r="F173" t="str">
        <f>'DR Threshold Analysis'!AI173</f>
        <v>Remote</v>
      </c>
      <c r="G173" t="str">
        <f>'DR Threshold Analysis'!AK173</f>
        <v>Remote</v>
      </c>
      <c r="H173" t="str">
        <f>'DR Threshold Analysis'!AM173</f>
        <v>Remote</v>
      </c>
      <c r="J173" s="22"/>
      <c r="K173" s="22"/>
    </row>
    <row r="174" spans="2:11" x14ac:dyDescent="0.45">
      <c r="B174" s="1" t="s">
        <v>519</v>
      </c>
      <c r="C174" s="1" t="s">
        <v>575</v>
      </c>
      <c r="D174" s="12">
        <v>41668</v>
      </c>
      <c r="E174" s="12">
        <f>'DR Threshold Analysis'!D174</f>
        <v>40965.050000000003</v>
      </c>
      <c r="F174" t="str">
        <f>'DR Threshold Analysis'!AI174</f>
        <v>Remote</v>
      </c>
      <c r="G174" t="str">
        <f>'DR Threshold Analysis'!AK174</f>
        <v>Remote</v>
      </c>
      <c r="H174" t="str">
        <f>'DR Threshold Analysis'!AM174</f>
        <v>Remote</v>
      </c>
      <c r="J174" s="22"/>
      <c r="K174" s="22"/>
    </row>
  </sheetData>
  <mergeCells count="13">
    <mergeCell ref="M1:M2"/>
    <mergeCell ref="O1:O2"/>
    <mergeCell ref="P1:P2"/>
    <mergeCell ref="B1:B2"/>
    <mergeCell ref="D1:D2"/>
    <mergeCell ref="E1:E2"/>
    <mergeCell ref="F1:F2"/>
    <mergeCell ref="G1:G2"/>
    <mergeCell ref="H1:H2"/>
    <mergeCell ref="J1:J2"/>
    <mergeCell ref="K1:K2"/>
    <mergeCell ref="L1:L2"/>
    <mergeCell ref="C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7698-19A7-446D-8E45-8F54647842B6}">
  <dimension ref="B1:H173"/>
  <sheetViews>
    <sheetView workbookViewId="0">
      <selection activeCell="B1" sqref="B1:H1"/>
    </sheetView>
  </sheetViews>
  <sheetFormatPr defaultRowHeight="14.25" x14ac:dyDescent="0.45"/>
  <cols>
    <col min="3" max="3" width="28.9296875" bestFit="1" customWidth="1"/>
  </cols>
  <sheetData>
    <row r="1" spans="2:8" x14ac:dyDescent="0.45">
      <c r="B1" s="3" t="s">
        <v>30</v>
      </c>
      <c r="C1" s="3" t="s">
        <v>31</v>
      </c>
      <c r="D1" s="3" t="s">
        <v>32</v>
      </c>
      <c r="E1" s="3" t="s">
        <v>33</v>
      </c>
      <c r="F1" s="3" t="s">
        <v>35</v>
      </c>
      <c r="G1" s="3" t="s">
        <v>34</v>
      </c>
      <c r="H1" s="3" t="s">
        <v>36</v>
      </c>
    </row>
    <row r="2" spans="2:8" x14ac:dyDescent="0.45">
      <c r="B2" s="1" t="s">
        <v>0</v>
      </c>
      <c r="C2" s="1" t="s">
        <v>1</v>
      </c>
      <c r="D2" s="1" t="s">
        <v>2</v>
      </c>
      <c r="E2" s="1">
        <v>5</v>
      </c>
      <c r="F2" s="2">
        <v>0.3</v>
      </c>
      <c r="G2" s="2">
        <v>0.5</v>
      </c>
      <c r="H2" s="2">
        <v>0.7</v>
      </c>
    </row>
    <row r="3" spans="2:8" x14ac:dyDescent="0.45">
      <c r="B3" s="1" t="s">
        <v>3</v>
      </c>
      <c r="C3" s="1" t="s">
        <v>4</v>
      </c>
      <c r="D3" s="1" t="s">
        <v>5</v>
      </c>
      <c r="E3" s="1">
        <v>5</v>
      </c>
      <c r="F3" s="2">
        <v>0.3</v>
      </c>
      <c r="G3" s="2">
        <v>0.5</v>
      </c>
      <c r="H3" s="2">
        <v>0.7</v>
      </c>
    </row>
    <row r="4" spans="2:8" x14ac:dyDescent="0.45">
      <c r="B4" s="1" t="s">
        <v>6</v>
      </c>
      <c r="C4" s="1" t="s">
        <v>7</v>
      </c>
      <c r="D4" s="1" t="s">
        <v>8</v>
      </c>
      <c r="E4" s="1">
        <v>5</v>
      </c>
      <c r="F4" s="2">
        <v>0.25</v>
      </c>
      <c r="G4" s="2">
        <v>0.4</v>
      </c>
      <c r="H4" s="2">
        <v>0.6</v>
      </c>
    </row>
    <row r="5" spans="2:8" x14ac:dyDescent="0.45">
      <c r="B5" s="1" t="s">
        <v>9</v>
      </c>
      <c r="C5" s="1" t="s">
        <v>10</v>
      </c>
      <c r="D5" s="1" t="s">
        <v>11</v>
      </c>
      <c r="E5" s="1">
        <v>5</v>
      </c>
      <c r="F5" s="2">
        <v>0.3</v>
      </c>
      <c r="G5" s="2">
        <v>0.5</v>
      </c>
      <c r="H5" s="2">
        <v>0.7</v>
      </c>
    </row>
    <row r="6" spans="2:8" x14ac:dyDescent="0.45">
      <c r="B6" s="1" t="s">
        <v>12</v>
      </c>
      <c r="C6" s="1" t="s">
        <v>13</v>
      </c>
      <c r="D6" s="1" t="s">
        <v>14</v>
      </c>
      <c r="E6" s="1">
        <v>5</v>
      </c>
      <c r="F6" s="2">
        <v>0.3</v>
      </c>
      <c r="G6" s="2">
        <v>0.5</v>
      </c>
      <c r="H6" s="2">
        <v>0.7</v>
      </c>
    </row>
    <row r="7" spans="2:8" x14ac:dyDescent="0.45">
      <c r="B7" s="1" t="s">
        <v>15</v>
      </c>
      <c r="C7" s="1" t="s">
        <v>16</v>
      </c>
      <c r="D7" s="1" t="s">
        <v>17</v>
      </c>
      <c r="E7" s="1">
        <v>5</v>
      </c>
      <c r="F7" s="2">
        <v>0.3</v>
      </c>
      <c r="G7" s="2">
        <v>0.5</v>
      </c>
      <c r="H7" s="2">
        <v>0.7</v>
      </c>
    </row>
    <row r="8" spans="2:8" x14ac:dyDescent="0.45">
      <c r="B8" s="1" t="s">
        <v>18</v>
      </c>
      <c r="C8" s="1" t="s">
        <v>19</v>
      </c>
      <c r="D8" s="1" t="s">
        <v>20</v>
      </c>
      <c r="E8" s="1">
        <v>5</v>
      </c>
      <c r="F8" s="2">
        <v>0.3</v>
      </c>
      <c r="G8" s="2">
        <v>0.5</v>
      </c>
      <c r="H8" s="2">
        <v>0.7</v>
      </c>
    </row>
    <row r="9" spans="2:8" x14ac:dyDescent="0.45">
      <c r="B9" s="1" t="s">
        <v>21</v>
      </c>
      <c r="C9" s="1" t="s">
        <v>22</v>
      </c>
      <c r="D9" s="1" t="s">
        <v>23</v>
      </c>
      <c r="E9" s="1">
        <v>5</v>
      </c>
      <c r="F9" s="2">
        <v>0.3</v>
      </c>
      <c r="G9" s="2">
        <v>0.5</v>
      </c>
      <c r="H9" s="2">
        <v>0.7</v>
      </c>
    </row>
    <row r="10" spans="2:8" x14ac:dyDescent="0.45">
      <c r="B10" s="1" t="s">
        <v>24</v>
      </c>
      <c r="C10" s="1" t="s">
        <v>25</v>
      </c>
      <c r="D10" s="1" t="s">
        <v>26</v>
      </c>
      <c r="E10" s="1">
        <v>5</v>
      </c>
      <c r="F10" s="2">
        <v>0.3</v>
      </c>
      <c r="G10" s="2">
        <v>0.5</v>
      </c>
      <c r="H10" s="2">
        <v>0.7</v>
      </c>
    </row>
    <row r="11" spans="2:8" x14ac:dyDescent="0.45">
      <c r="B11" s="1" t="s">
        <v>27</v>
      </c>
      <c r="C11" s="1" t="s">
        <v>28</v>
      </c>
      <c r="D11" s="1" t="s">
        <v>29</v>
      </c>
      <c r="E11" s="1">
        <v>5</v>
      </c>
      <c r="F11" s="2">
        <v>0.3</v>
      </c>
      <c r="G11" s="2">
        <v>0.5</v>
      </c>
      <c r="H11" s="2">
        <v>0.7</v>
      </c>
    </row>
    <row r="12" spans="2:8" x14ac:dyDescent="0.45">
      <c r="B12" s="1" t="s">
        <v>37</v>
      </c>
      <c r="C12" s="1" t="s">
        <v>38</v>
      </c>
      <c r="D12" s="1" t="s">
        <v>39</v>
      </c>
      <c r="E12" s="1">
        <v>5</v>
      </c>
      <c r="F12" s="2">
        <v>0.3</v>
      </c>
      <c r="G12" s="2">
        <v>0.5</v>
      </c>
      <c r="H12" s="2">
        <v>0.7</v>
      </c>
    </row>
    <row r="13" spans="2:8" x14ac:dyDescent="0.45">
      <c r="B13" s="1" t="s">
        <v>40</v>
      </c>
      <c r="C13" s="1" t="s">
        <v>41</v>
      </c>
      <c r="D13" s="1" t="s">
        <v>42</v>
      </c>
      <c r="E13" s="1">
        <v>5</v>
      </c>
      <c r="F13" s="2">
        <v>0.3</v>
      </c>
      <c r="G13" s="2">
        <v>0.5</v>
      </c>
      <c r="H13" s="2">
        <v>0.7</v>
      </c>
    </row>
    <row r="14" spans="2:8" x14ac:dyDescent="0.45">
      <c r="B14" s="1" t="s">
        <v>43</v>
      </c>
      <c r="C14" s="1" t="s">
        <v>44</v>
      </c>
      <c r="D14" s="1" t="s">
        <v>45</v>
      </c>
      <c r="E14" s="1">
        <v>5</v>
      </c>
      <c r="F14" s="2">
        <v>0.3</v>
      </c>
      <c r="G14" s="2">
        <v>0.5</v>
      </c>
      <c r="H14" s="2">
        <v>0.7</v>
      </c>
    </row>
    <row r="15" spans="2:8" x14ac:dyDescent="0.45">
      <c r="B15" s="1" t="s">
        <v>46</v>
      </c>
      <c r="C15" s="1" t="s">
        <v>47</v>
      </c>
      <c r="D15" s="1" t="s">
        <v>48</v>
      </c>
      <c r="E15" s="1">
        <v>5</v>
      </c>
      <c r="F15" s="2">
        <v>0.3</v>
      </c>
      <c r="G15" s="2">
        <v>0.5</v>
      </c>
      <c r="H15" s="2">
        <v>0.7</v>
      </c>
    </row>
    <row r="16" spans="2:8" x14ac:dyDescent="0.45">
      <c r="B16" s="1" t="s">
        <v>49</v>
      </c>
      <c r="C16" s="1" t="s">
        <v>50</v>
      </c>
      <c r="D16" s="1" t="s">
        <v>51</v>
      </c>
      <c r="E16" s="1">
        <v>5</v>
      </c>
      <c r="F16" s="2">
        <v>0.3</v>
      </c>
      <c r="G16" s="2">
        <v>0.5</v>
      </c>
      <c r="H16" s="2">
        <v>0.7</v>
      </c>
    </row>
    <row r="17" spans="2:8" x14ac:dyDescent="0.45">
      <c r="B17" s="1" t="s">
        <v>52</v>
      </c>
      <c r="C17" s="1" t="s">
        <v>53</v>
      </c>
      <c r="D17" s="1" t="s">
        <v>54</v>
      </c>
      <c r="E17" s="1">
        <v>5</v>
      </c>
      <c r="F17" s="2">
        <v>0.25</v>
      </c>
      <c r="G17" s="2">
        <v>0.4</v>
      </c>
      <c r="H17" s="2">
        <v>0.6</v>
      </c>
    </row>
    <row r="18" spans="2:8" x14ac:dyDescent="0.45">
      <c r="B18" s="1" t="s">
        <v>55</v>
      </c>
      <c r="C18" s="1" t="s">
        <v>56</v>
      </c>
      <c r="D18" s="1" t="s">
        <v>57</v>
      </c>
      <c r="E18" s="1">
        <v>5</v>
      </c>
      <c r="F18" s="2">
        <v>0.3</v>
      </c>
      <c r="G18" s="2">
        <v>0.5</v>
      </c>
      <c r="H18" s="2">
        <v>0.7</v>
      </c>
    </row>
    <row r="19" spans="2:8" x14ac:dyDescent="0.45">
      <c r="B19" s="1" t="s">
        <v>58</v>
      </c>
      <c r="C19" s="1" t="s">
        <v>59</v>
      </c>
      <c r="D19" s="1" t="s">
        <v>60</v>
      </c>
      <c r="E19" s="1">
        <v>5</v>
      </c>
      <c r="F19" s="2">
        <v>0.3</v>
      </c>
      <c r="G19" s="2">
        <v>0.5</v>
      </c>
      <c r="H19" s="2">
        <v>0.7</v>
      </c>
    </row>
    <row r="20" spans="2:8" x14ac:dyDescent="0.45">
      <c r="B20" s="1" t="s">
        <v>61</v>
      </c>
      <c r="C20" s="1" t="s">
        <v>62</v>
      </c>
      <c r="D20" s="1" t="s">
        <v>63</v>
      </c>
      <c r="E20" s="1">
        <v>5</v>
      </c>
      <c r="F20" s="2">
        <v>0.3</v>
      </c>
      <c r="G20" s="2">
        <v>0.5</v>
      </c>
      <c r="H20" s="2">
        <v>0.7</v>
      </c>
    </row>
    <row r="21" spans="2:8" x14ac:dyDescent="0.45">
      <c r="B21" s="1" t="s">
        <v>64</v>
      </c>
      <c r="C21" s="1" t="s">
        <v>65</v>
      </c>
      <c r="D21" s="1" t="s">
        <v>66</v>
      </c>
      <c r="E21" s="1">
        <v>5</v>
      </c>
      <c r="F21" s="2">
        <v>0.3</v>
      </c>
      <c r="G21" s="2">
        <v>0.5</v>
      </c>
      <c r="H21" s="2">
        <v>0.7</v>
      </c>
    </row>
    <row r="22" spans="2:8" x14ac:dyDescent="0.45">
      <c r="B22" s="1" t="s">
        <v>67</v>
      </c>
      <c r="C22" s="1" t="s">
        <v>68</v>
      </c>
      <c r="D22" s="1" t="s">
        <v>69</v>
      </c>
      <c r="E22" s="1">
        <v>5</v>
      </c>
      <c r="F22" s="2">
        <v>0.3</v>
      </c>
      <c r="G22" s="2">
        <v>0.5</v>
      </c>
      <c r="H22" s="2">
        <v>0.7</v>
      </c>
    </row>
    <row r="23" spans="2:8" x14ac:dyDescent="0.45">
      <c r="B23" s="1" t="s">
        <v>70</v>
      </c>
      <c r="C23" s="1" t="s">
        <v>71</v>
      </c>
      <c r="D23" s="1" t="s">
        <v>72</v>
      </c>
      <c r="E23" s="1">
        <v>5</v>
      </c>
      <c r="F23" s="2">
        <v>0.25</v>
      </c>
      <c r="G23" s="2">
        <v>0.4</v>
      </c>
      <c r="H23" s="2">
        <v>0.6</v>
      </c>
    </row>
    <row r="24" spans="2:8" x14ac:dyDescent="0.45">
      <c r="B24" s="1" t="s">
        <v>73</v>
      </c>
      <c r="C24" s="1" t="s">
        <v>74</v>
      </c>
      <c r="D24" s="1" t="s">
        <v>75</v>
      </c>
      <c r="E24" s="1">
        <v>5</v>
      </c>
      <c r="F24" s="2">
        <v>0.3</v>
      </c>
      <c r="G24" s="2">
        <v>0.5</v>
      </c>
      <c r="H24" s="2">
        <v>0.7</v>
      </c>
    </row>
    <row r="25" spans="2:8" x14ac:dyDescent="0.45">
      <c r="B25" s="1" t="s">
        <v>76</v>
      </c>
      <c r="C25" s="1" t="s">
        <v>77</v>
      </c>
      <c r="D25" s="1" t="s">
        <v>78</v>
      </c>
      <c r="E25" s="1">
        <v>5</v>
      </c>
      <c r="F25" s="2">
        <v>0.3</v>
      </c>
      <c r="G25" s="2">
        <v>0.5</v>
      </c>
      <c r="H25" s="2">
        <v>0.7</v>
      </c>
    </row>
    <row r="26" spans="2:8" x14ac:dyDescent="0.45">
      <c r="B26" s="1" t="s">
        <v>79</v>
      </c>
      <c r="C26" s="1" t="s">
        <v>80</v>
      </c>
      <c r="D26" s="1" t="s">
        <v>81</v>
      </c>
      <c r="E26" s="1">
        <v>7</v>
      </c>
      <c r="F26" s="2">
        <v>0.1</v>
      </c>
      <c r="G26" s="2">
        <v>0.2</v>
      </c>
      <c r="H26" s="2">
        <v>0.3</v>
      </c>
    </row>
    <row r="27" spans="2:8" x14ac:dyDescent="0.45">
      <c r="B27" s="1" t="s">
        <v>82</v>
      </c>
      <c r="C27" s="1" t="s">
        <v>83</v>
      </c>
      <c r="D27" s="1" t="s">
        <v>84</v>
      </c>
      <c r="E27" s="1">
        <v>7</v>
      </c>
      <c r="F27" s="2">
        <v>0.05</v>
      </c>
      <c r="G27" s="2">
        <v>0.1</v>
      </c>
      <c r="H27" s="2">
        <v>0.2</v>
      </c>
    </row>
    <row r="28" spans="2:8" x14ac:dyDescent="0.45">
      <c r="B28" s="1" t="s">
        <v>85</v>
      </c>
      <c r="C28" s="1" t="s">
        <v>86</v>
      </c>
      <c r="D28" s="1" t="s">
        <v>87</v>
      </c>
      <c r="E28" s="1">
        <v>7</v>
      </c>
      <c r="F28" s="2">
        <v>0.1</v>
      </c>
      <c r="G28" s="2">
        <v>0.2</v>
      </c>
      <c r="H28" s="2">
        <v>0.3</v>
      </c>
    </row>
    <row r="29" spans="2:8" x14ac:dyDescent="0.45">
      <c r="B29" s="1" t="s">
        <v>88</v>
      </c>
      <c r="C29" s="1" t="s">
        <v>89</v>
      </c>
      <c r="D29" s="1" t="s">
        <v>90</v>
      </c>
      <c r="E29" s="1">
        <v>7</v>
      </c>
      <c r="F29" s="2">
        <v>0.1</v>
      </c>
      <c r="G29" s="2">
        <v>0.2</v>
      </c>
      <c r="H29" s="2">
        <v>0.3</v>
      </c>
    </row>
    <row r="30" spans="2:8" x14ac:dyDescent="0.45">
      <c r="B30" s="1" t="s">
        <v>91</v>
      </c>
      <c r="C30" s="1" t="s">
        <v>92</v>
      </c>
      <c r="D30" s="1" t="s">
        <v>93</v>
      </c>
      <c r="E30" s="1">
        <v>7</v>
      </c>
      <c r="F30" s="2">
        <v>0.25</v>
      </c>
      <c r="G30" s="2">
        <v>0.4</v>
      </c>
      <c r="H30" s="2">
        <v>0.6</v>
      </c>
    </row>
    <row r="31" spans="2:8" x14ac:dyDescent="0.45">
      <c r="B31" s="1" t="s">
        <v>94</v>
      </c>
      <c r="C31" s="1" t="s">
        <v>95</v>
      </c>
      <c r="D31" s="1" t="s">
        <v>96</v>
      </c>
      <c r="E31" s="1">
        <v>7</v>
      </c>
      <c r="F31" s="2">
        <v>0.15</v>
      </c>
      <c r="G31" s="2">
        <v>0.3</v>
      </c>
      <c r="H31" s="2">
        <v>0.4</v>
      </c>
    </row>
    <row r="32" spans="2:8" x14ac:dyDescent="0.45">
      <c r="B32" s="1" t="s">
        <v>97</v>
      </c>
      <c r="C32" s="1" t="s">
        <v>98</v>
      </c>
      <c r="D32" s="1" t="s">
        <v>99</v>
      </c>
      <c r="E32" s="1">
        <v>7</v>
      </c>
      <c r="F32" s="2">
        <v>0.2</v>
      </c>
      <c r="G32" s="2">
        <v>0.35</v>
      </c>
      <c r="H32" s="2">
        <v>0.5</v>
      </c>
    </row>
    <row r="33" spans="2:8" x14ac:dyDescent="0.45">
      <c r="B33" s="1" t="s">
        <v>100</v>
      </c>
      <c r="C33" s="1" t="s">
        <v>101</v>
      </c>
      <c r="D33" s="1" t="s">
        <v>102</v>
      </c>
      <c r="E33" s="1">
        <v>7</v>
      </c>
      <c r="F33" s="2">
        <v>0.2</v>
      </c>
      <c r="G33" s="2">
        <v>0.35</v>
      </c>
      <c r="H33" s="2">
        <v>0.5</v>
      </c>
    </row>
    <row r="34" spans="2:8" x14ac:dyDescent="0.45">
      <c r="B34" s="1" t="s">
        <v>103</v>
      </c>
      <c r="C34" s="1" t="s">
        <v>104</v>
      </c>
      <c r="D34" s="1" t="s">
        <v>105</v>
      </c>
      <c r="E34" s="1">
        <v>7</v>
      </c>
      <c r="F34" s="2">
        <v>0.15</v>
      </c>
      <c r="G34" s="2">
        <v>0.3</v>
      </c>
      <c r="H34" s="2">
        <v>0.4</v>
      </c>
    </row>
    <row r="35" spans="2:8" x14ac:dyDescent="0.45">
      <c r="B35" s="1" t="s">
        <v>106</v>
      </c>
      <c r="C35" s="1" t="s">
        <v>107</v>
      </c>
      <c r="D35" s="1" t="s">
        <v>108</v>
      </c>
      <c r="E35" s="1">
        <v>7</v>
      </c>
      <c r="F35" s="2">
        <v>0.1</v>
      </c>
      <c r="G35" s="2">
        <v>0.2</v>
      </c>
      <c r="H35" s="2">
        <v>0.3</v>
      </c>
    </row>
    <row r="36" spans="2:8" x14ac:dyDescent="0.45">
      <c r="B36" s="1" t="s">
        <v>109</v>
      </c>
      <c r="C36" s="1" t="s">
        <v>110</v>
      </c>
      <c r="D36" s="1" t="s">
        <v>111</v>
      </c>
      <c r="E36" s="1">
        <v>7</v>
      </c>
      <c r="F36" s="2">
        <v>0.15</v>
      </c>
      <c r="G36" s="2">
        <v>0.3</v>
      </c>
      <c r="H36" s="2">
        <v>0.4</v>
      </c>
    </row>
    <row r="37" spans="2:8" x14ac:dyDescent="0.45">
      <c r="B37" s="1" t="s">
        <v>112</v>
      </c>
      <c r="C37" s="1" t="s">
        <v>113</v>
      </c>
      <c r="D37" s="1" t="s">
        <v>114</v>
      </c>
      <c r="E37" s="1">
        <v>7</v>
      </c>
      <c r="F37" s="2">
        <v>0.3</v>
      </c>
      <c r="G37" s="2">
        <v>0.5</v>
      </c>
      <c r="H37" s="2">
        <v>0.7</v>
      </c>
    </row>
    <row r="38" spans="2:8" x14ac:dyDescent="0.45">
      <c r="B38" s="1" t="s">
        <v>115</v>
      </c>
      <c r="C38" s="1" t="s">
        <v>116</v>
      </c>
      <c r="D38" s="1" t="s">
        <v>117</v>
      </c>
      <c r="E38" s="1">
        <v>7</v>
      </c>
      <c r="F38" s="2">
        <v>0.3</v>
      </c>
      <c r="G38" s="2">
        <v>0.5</v>
      </c>
      <c r="H38" s="2">
        <v>0.7</v>
      </c>
    </row>
    <row r="39" spans="2:8" x14ac:dyDescent="0.45">
      <c r="B39" s="1" t="s">
        <v>118</v>
      </c>
      <c r="C39" s="1" t="s">
        <v>119</v>
      </c>
      <c r="D39" s="1" t="s">
        <v>120</v>
      </c>
      <c r="E39" s="1">
        <v>7</v>
      </c>
      <c r="F39" s="2">
        <v>0.05</v>
      </c>
      <c r="G39" s="2">
        <v>0.15</v>
      </c>
      <c r="H39" s="2">
        <v>0.25</v>
      </c>
    </row>
    <row r="40" spans="2:8" x14ac:dyDescent="0.45">
      <c r="B40" s="1" t="s">
        <v>121</v>
      </c>
      <c r="C40" s="1" t="s">
        <v>122</v>
      </c>
      <c r="D40" s="1" t="s">
        <v>123</v>
      </c>
      <c r="E40" s="1">
        <v>7</v>
      </c>
      <c r="F40" s="2">
        <v>0.25</v>
      </c>
      <c r="G40" s="2">
        <v>0.4</v>
      </c>
      <c r="H40" s="2">
        <v>0.6</v>
      </c>
    </row>
    <row r="41" spans="2:8" x14ac:dyDescent="0.45">
      <c r="B41" s="1" t="s">
        <v>124</v>
      </c>
      <c r="C41" s="1" t="s">
        <v>125</v>
      </c>
      <c r="D41" s="1" t="s">
        <v>126</v>
      </c>
      <c r="E41" s="1">
        <v>7</v>
      </c>
      <c r="F41" s="2">
        <v>0.15</v>
      </c>
      <c r="G41" s="2">
        <v>0.3</v>
      </c>
      <c r="H41" s="2">
        <v>0.4</v>
      </c>
    </row>
    <row r="42" spans="2:8" x14ac:dyDescent="0.45">
      <c r="B42" s="1" t="s">
        <v>127</v>
      </c>
      <c r="C42" s="1" t="s">
        <v>128</v>
      </c>
      <c r="D42" s="1" t="s">
        <v>129</v>
      </c>
      <c r="E42" s="1">
        <v>7</v>
      </c>
      <c r="F42" s="2">
        <v>0.1</v>
      </c>
      <c r="G42" s="2">
        <v>0.2</v>
      </c>
      <c r="H42" s="2">
        <v>0.3</v>
      </c>
    </row>
    <row r="43" spans="2:8" x14ac:dyDescent="0.45">
      <c r="B43" s="1" t="s">
        <v>130</v>
      </c>
      <c r="C43" s="1" t="s">
        <v>131</v>
      </c>
      <c r="D43" s="1" t="s">
        <v>132</v>
      </c>
      <c r="E43" s="1">
        <v>7</v>
      </c>
      <c r="F43" s="2">
        <v>0.25</v>
      </c>
      <c r="G43" s="2">
        <v>0.4</v>
      </c>
      <c r="H43" s="2">
        <v>0.6</v>
      </c>
    </row>
    <row r="44" spans="2:8" x14ac:dyDescent="0.45">
      <c r="B44" s="1" t="s">
        <v>133</v>
      </c>
      <c r="C44" s="1" t="s">
        <v>134</v>
      </c>
      <c r="D44" s="1" t="s">
        <v>135</v>
      </c>
      <c r="E44" s="1">
        <v>7</v>
      </c>
      <c r="F44" s="2">
        <v>0.1</v>
      </c>
      <c r="G44" s="2">
        <v>0.2</v>
      </c>
      <c r="H44" s="2">
        <v>0.3</v>
      </c>
    </row>
    <row r="45" spans="2:8" x14ac:dyDescent="0.45">
      <c r="B45" s="1" t="s">
        <v>136</v>
      </c>
      <c r="C45" s="1" t="s">
        <v>137</v>
      </c>
      <c r="D45" s="1" t="s">
        <v>138</v>
      </c>
      <c r="E45" s="1">
        <v>7</v>
      </c>
      <c r="F45" s="2">
        <v>0.15</v>
      </c>
      <c r="G45" s="2">
        <v>0.3</v>
      </c>
      <c r="H45" s="2">
        <v>0.4</v>
      </c>
    </row>
    <row r="46" spans="2:8" x14ac:dyDescent="0.45">
      <c r="B46" s="1" t="s">
        <v>139</v>
      </c>
      <c r="C46" s="1" t="s">
        <v>140</v>
      </c>
      <c r="D46" s="1" t="s">
        <v>141</v>
      </c>
      <c r="E46" s="1">
        <v>7</v>
      </c>
      <c r="F46" s="2">
        <v>0.05</v>
      </c>
      <c r="G46" s="2">
        <v>0.15</v>
      </c>
      <c r="H46" s="2">
        <v>0.25</v>
      </c>
    </row>
    <row r="47" spans="2:8" x14ac:dyDescent="0.45">
      <c r="B47" s="1" t="s">
        <v>142</v>
      </c>
      <c r="C47" s="1" t="s">
        <v>143</v>
      </c>
      <c r="D47" s="1" t="s">
        <v>144</v>
      </c>
      <c r="E47" s="1">
        <v>7</v>
      </c>
      <c r="F47" s="2">
        <v>0.25</v>
      </c>
      <c r="G47" s="2">
        <v>0.4</v>
      </c>
      <c r="H47" s="2">
        <v>0.6</v>
      </c>
    </row>
    <row r="48" spans="2:8" x14ac:dyDescent="0.45">
      <c r="B48" s="1" t="s">
        <v>145</v>
      </c>
      <c r="C48" s="1" t="s">
        <v>146</v>
      </c>
      <c r="D48" s="1" t="s">
        <v>147</v>
      </c>
      <c r="E48" s="1">
        <v>7</v>
      </c>
      <c r="F48" s="2">
        <v>0.2</v>
      </c>
      <c r="G48" s="2">
        <v>0.35</v>
      </c>
      <c r="H48" s="2">
        <v>0.5</v>
      </c>
    </row>
    <row r="49" spans="2:8" x14ac:dyDescent="0.45">
      <c r="B49" s="1" t="s">
        <v>148</v>
      </c>
      <c r="C49" s="1" t="s">
        <v>149</v>
      </c>
      <c r="D49" s="1" t="s">
        <v>150</v>
      </c>
      <c r="E49" s="1">
        <v>7</v>
      </c>
      <c r="F49" s="2">
        <v>0.15</v>
      </c>
      <c r="G49" s="2">
        <v>0.3</v>
      </c>
      <c r="H49" s="2">
        <v>0.4</v>
      </c>
    </row>
    <row r="50" spans="2:8" x14ac:dyDescent="0.45">
      <c r="B50" s="1" t="s">
        <v>151</v>
      </c>
      <c r="C50" s="1" t="s">
        <v>152</v>
      </c>
      <c r="D50" s="1" t="s">
        <v>153</v>
      </c>
      <c r="E50" s="1">
        <v>7</v>
      </c>
      <c r="F50" s="2">
        <v>0.2</v>
      </c>
      <c r="G50" s="2">
        <v>0.35</v>
      </c>
      <c r="H50" s="2">
        <v>0.5</v>
      </c>
    </row>
    <row r="51" spans="2:8" x14ac:dyDescent="0.45">
      <c r="B51" s="1" t="s">
        <v>154</v>
      </c>
      <c r="C51" s="1" t="s">
        <v>155</v>
      </c>
      <c r="D51" s="1" t="s">
        <v>156</v>
      </c>
      <c r="E51" s="1">
        <v>7</v>
      </c>
      <c r="F51" s="2">
        <v>0.25</v>
      </c>
      <c r="G51" s="2">
        <v>0.4</v>
      </c>
      <c r="H51" s="2">
        <v>0.6</v>
      </c>
    </row>
    <row r="52" spans="2:8" x14ac:dyDescent="0.45">
      <c r="B52" s="1" t="s">
        <v>157</v>
      </c>
      <c r="C52" s="1" t="s">
        <v>158</v>
      </c>
      <c r="D52" s="1" t="s">
        <v>159</v>
      </c>
      <c r="E52" s="1">
        <v>7</v>
      </c>
      <c r="F52" s="2">
        <v>0.2</v>
      </c>
      <c r="G52" s="2">
        <v>0.35</v>
      </c>
      <c r="H52" s="2">
        <v>0.5</v>
      </c>
    </row>
    <row r="53" spans="2:8" x14ac:dyDescent="0.45">
      <c r="B53" s="1" t="s">
        <v>160</v>
      </c>
      <c r="C53" s="1" t="s">
        <v>161</v>
      </c>
      <c r="D53" s="1" t="s">
        <v>162</v>
      </c>
      <c r="E53" s="1">
        <v>7</v>
      </c>
      <c r="F53" s="2">
        <v>0.2</v>
      </c>
      <c r="G53" s="2">
        <v>0.35</v>
      </c>
      <c r="H53" s="2">
        <v>0.5</v>
      </c>
    </row>
    <row r="54" spans="2:8" x14ac:dyDescent="0.45">
      <c r="B54" s="1" t="s">
        <v>163</v>
      </c>
      <c r="C54" s="1" t="s">
        <v>164</v>
      </c>
      <c r="D54" s="1" t="s">
        <v>165</v>
      </c>
      <c r="E54" s="1">
        <v>7</v>
      </c>
      <c r="F54" s="2">
        <v>0.3</v>
      </c>
      <c r="G54" s="2">
        <v>0.5</v>
      </c>
      <c r="H54" s="2">
        <v>0.7</v>
      </c>
    </row>
    <row r="55" spans="2:8" x14ac:dyDescent="0.45">
      <c r="B55" s="1" t="s">
        <v>166</v>
      </c>
      <c r="C55" s="1" t="s">
        <v>167</v>
      </c>
      <c r="D55" s="1" t="s">
        <v>168</v>
      </c>
      <c r="E55" s="1">
        <v>7</v>
      </c>
      <c r="F55" s="2">
        <v>0.1</v>
      </c>
      <c r="G55" s="2">
        <v>0.2</v>
      </c>
      <c r="H55" s="2">
        <v>0.3</v>
      </c>
    </row>
    <row r="56" spans="2:8" x14ac:dyDescent="0.45">
      <c r="B56" s="1" t="s">
        <v>169</v>
      </c>
      <c r="C56" s="1" t="s">
        <v>170</v>
      </c>
      <c r="D56" s="1" t="s">
        <v>171</v>
      </c>
      <c r="E56" s="1">
        <v>7</v>
      </c>
      <c r="F56" s="2">
        <v>0.2</v>
      </c>
      <c r="G56" s="2">
        <v>0.35</v>
      </c>
      <c r="H56" s="2">
        <v>0.5</v>
      </c>
    </row>
    <row r="57" spans="2:8" x14ac:dyDescent="0.45">
      <c r="B57" s="1" t="s">
        <v>172</v>
      </c>
      <c r="C57" s="1" t="s">
        <v>173</v>
      </c>
      <c r="D57" s="1" t="s">
        <v>174</v>
      </c>
      <c r="E57" s="1">
        <v>7</v>
      </c>
      <c r="F57" s="2">
        <v>0.15</v>
      </c>
      <c r="G57" s="2">
        <v>0.3</v>
      </c>
      <c r="H57" s="2">
        <v>0.4</v>
      </c>
    </row>
    <row r="58" spans="2:8" x14ac:dyDescent="0.45">
      <c r="B58" s="1" t="s">
        <v>175</v>
      </c>
      <c r="C58" s="1" t="s">
        <v>176</v>
      </c>
      <c r="D58" s="1" t="s">
        <v>177</v>
      </c>
      <c r="E58" s="1">
        <v>7</v>
      </c>
      <c r="F58" s="2">
        <v>0.15</v>
      </c>
      <c r="G58" s="2">
        <v>0.3</v>
      </c>
      <c r="H58" s="2">
        <v>0.4</v>
      </c>
    </row>
    <row r="59" spans="2:8" x14ac:dyDescent="0.45">
      <c r="B59" s="1" t="s">
        <v>178</v>
      </c>
      <c r="C59" s="1" t="s">
        <v>179</v>
      </c>
      <c r="D59" s="1" t="s">
        <v>180</v>
      </c>
      <c r="E59" s="1">
        <v>7</v>
      </c>
      <c r="F59" s="2">
        <v>0.3</v>
      </c>
      <c r="G59" s="2">
        <v>0.5</v>
      </c>
      <c r="H59" s="2">
        <v>0.7</v>
      </c>
    </row>
    <row r="60" spans="2:8" x14ac:dyDescent="0.45">
      <c r="B60" s="1" t="s">
        <v>181</v>
      </c>
      <c r="C60" s="1" t="s">
        <v>182</v>
      </c>
      <c r="D60" s="1" t="s">
        <v>183</v>
      </c>
      <c r="E60" s="1">
        <v>7</v>
      </c>
      <c r="F60" s="2">
        <v>0.15</v>
      </c>
      <c r="G60" s="2">
        <v>0.3</v>
      </c>
      <c r="H60" s="2">
        <v>0.4</v>
      </c>
    </row>
    <row r="61" spans="2:8" x14ac:dyDescent="0.45">
      <c r="B61" s="1" t="s">
        <v>184</v>
      </c>
      <c r="C61" s="1" t="s">
        <v>185</v>
      </c>
      <c r="D61" s="1" t="s">
        <v>186</v>
      </c>
      <c r="E61" s="1">
        <v>7</v>
      </c>
      <c r="F61" s="2">
        <v>0.2</v>
      </c>
      <c r="G61" s="2">
        <v>0.35</v>
      </c>
      <c r="H61" s="2">
        <v>0.5</v>
      </c>
    </row>
    <row r="62" spans="2:8" x14ac:dyDescent="0.45">
      <c r="B62" s="1" t="s">
        <v>187</v>
      </c>
      <c r="C62" s="1" t="s">
        <v>188</v>
      </c>
      <c r="D62" s="1" t="s">
        <v>189</v>
      </c>
      <c r="E62" s="1">
        <v>7</v>
      </c>
      <c r="F62" s="2">
        <v>0.3</v>
      </c>
      <c r="G62" s="2">
        <v>0.5</v>
      </c>
      <c r="H62" s="2">
        <v>0.7</v>
      </c>
    </row>
    <row r="63" spans="2:8" x14ac:dyDescent="0.45">
      <c r="B63" s="1" t="s">
        <v>190</v>
      </c>
      <c r="C63" s="1" t="s">
        <v>191</v>
      </c>
      <c r="D63" s="1" t="s">
        <v>192</v>
      </c>
      <c r="E63" s="1">
        <v>7</v>
      </c>
      <c r="F63" s="2">
        <v>0.3</v>
      </c>
      <c r="G63" s="2">
        <v>0.5</v>
      </c>
      <c r="H63" s="2">
        <v>0.7</v>
      </c>
    </row>
    <row r="64" spans="2:8" x14ac:dyDescent="0.45">
      <c r="B64" s="1" t="s">
        <v>193</v>
      </c>
      <c r="C64" s="1" t="s">
        <v>194</v>
      </c>
      <c r="D64" s="1" t="s">
        <v>195</v>
      </c>
      <c r="E64" s="1">
        <v>7</v>
      </c>
      <c r="F64" s="2">
        <v>0.05</v>
      </c>
      <c r="G64" s="2">
        <v>0.15</v>
      </c>
      <c r="H64" s="2">
        <v>0.25</v>
      </c>
    </row>
    <row r="65" spans="2:8" x14ac:dyDescent="0.45">
      <c r="B65" s="1" t="s">
        <v>196</v>
      </c>
      <c r="C65" s="1" t="s">
        <v>197</v>
      </c>
      <c r="D65" s="1" t="s">
        <v>198</v>
      </c>
      <c r="E65" s="1">
        <v>7</v>
      </c>
      <c r="F65" s="2">
        <v>0.3</v>
      </c>
      <c r="G65" s="2">
        <v>0.5</v>
      </c>
      <c r="H65" s="2">
        <v>0.7</v>
      </c>
    </row>
    <row r="66" spans="2:8" x14ac:dyDescent="0.45">
      <c r="B66" s="1" t="s">
        <v>199</v>
      </c>
      <c r="C66" s="1" t="s">
        <v>200</v>
      </c>
      <c r="D66" s="1" t="s">
        <v>201</v>
      </c>
      <c r="E66" s="1">
        <v>7</v>
      </c>
      <c r="F66" s="2">
        <v>0.3</v>
      </c>
      <c r="G66" s="2">
        <v>0.5</v>
      </c>
      <c r="H66" s="2">
        <v>0.7</v>
      </c>
    </row>
    <row r="67" spans="2:8" x14ac:dyDescent="0.45">
      <c r="B67" s="1" t="s">
        <v>202</v>
      </c>
      <c r="C67" s="1" t="s">
        <v>203</v>
      </c>
      <c r="D67" s="1" t="s">
        <v>204</v>
      </c>
      <c r="E67" s="1">
        <v>7</v>
      </c>
      <c r="F67" s="2">
        <v>0.25</v>
      </c>
      <c r="G67" s="2">
        <v>0.4</v>
      </c>
      <c r="H67" s="2">
        <v>0.6</v>
      </c>
    </row>
    <row r="68" spans="2:8" x14ac:dyDescent="0.45">
      <c r="B68" s="1" t="s">
        <v>205</v>
      </c>
      <c r="C68" s="1" t="s">
        <v>206</v>
      </c>
      <c r="D68" s="1" t="s">
        <v>207</v>
      </c>
      <c r="E68" s="1">
        <v>7</v>
      </c>
      <c r="F68" s="2">
        <v>0.15</v>
      </c>
      <c r="G68" s="2">
        <v>0.3</v>
      </c>
      <c r="H68" s="2">
        <v>0.4</v>
      </c>
    </row>
    <row r="69" spans="2:8" x14ac:dyDescent="0.45">
      <c r="B69" s="1" t="s">
        <v>208</v>
      </c>
      <c r="C69" s="1" t="s">
        <v>209</v>
      </c>
      <c r="D69" s="1" t="s">
        <v>210</v>
      </c>
      <c r="E69" s="1">
        <v>7</v>
      </c>
      <c r="F69" s="2">
        <v>0.1</v>
      </c>
      <c r="G69" s="2">
        <v>0.2</v>
      </c>
      <c r="H69" s="2">
        <v>0.3</v>
      </c>
    </row>
    <row r="70" spans="2:8" x14ac:dyDescent="0.45">
      <c r="B70" s="1" t="s">
        <v>211</v>
      </c>
      <c r="C70" s="1" t="s">
        <v>212</v>
      </c>
      <c r="D70" s="1" t="s">
        <v>213</v>
      </c>
      <c r="E70" s="1">
        <v>7</v>
      </c>
      <c r="F70" s="2">
        <v>0.2</v>
      </c>
      <c r="G70" s="2">
        <v>0.35</v>
      </c>
      <c r="H70" s="2">
        <v>0.5</v>
      </c>
    </row>
    <row r="71" spans="2:8" x14ac:dyDescent="0.45">
      <c r="B71" s="1" t="s">
        <v>214</v>
      </c>
      <c r="C71" s="1" t="s">
        <v>215</v>
      </c>
      <c r="D71" s="1" t="s">
        <v>216</v>
      </c>
      <c r="E71" s="1">
        <v>7</v>
      </c>
      <c r="F71" s="2">
        <v>0.15</v>
      </c>
      <c r="G71" s="2">
        <v>0.3</v>
      </c>
      <c r="H71" s="2">
        <v>0.4</v>
      </c>
    </row>
    <row r="72" spans="2:8" x14ac:dyDescent="0.45">
      <c r="B72" s="1" t="s">
        <v>217</v>
      </c>
      <c r="C72" s="1" t="s">
        <v>218</v>
      </c>
      <c r="D72" s="1" t="s">
        <v>219</v>
      </c>
      <c r="E72" s="1">
        <v>7</v>
      </c>
      <c r="F72" s="2">
        <v>0.2</v>
      </c>
      <c r="G72" s="2">
        <v>0.35</v>
      </c>
      <c r="H72" s="2">
        <v>0.5</v>
      </c>
    </row>
    <row r="73" spans="2:8" x14ac:dyDescent="0.45">
      <c r="B73" s="1" t="s">
        <v>220</v>
      </c>
      <c r="C73" s="1" t="s">
        <v>221</v>
      </c>
      <c r="D73" s="1" t="s">
        <v>222</v>
      </c>
      <c r="E73" s="1">
        <v>7</v>
      </c>
      <c r="F73" s="2">
        <v>0.2</v>
      </c>
      <c r="G73" s="2">
        <v>0.35</v>
      </c>
      <c r="H73" s="2">
        <v>0.5</v>
      </c>
    </row>
    <row r="74" spans="2:8" x14ac:dyDescent="0.45">
      <c r="B74" s="1" t="s">
        <v>223</v>
      </c>
      <c r="C74" s="1" t="s">
        <v>224</v>
      </c>
      <c r="D74" s="1" t="s">
        <v>225</v>
      </c>
      <c r="E74" s="1">
        <v>7</v>
      </c>
      <c r="F74" s="2">
        <v>0.2</v>
      </c>
      <c r="G74" s="2">
        <v>0.35</v>
      </c>
      <c r="H74" s="2">
        <v>0.5</v>
      </c>
    </row>
    <row r="75" spans="2:8" x14ac:dyDescent="0.45">
      <c r="B75" s="1" t="s">
        <v>226</v>
      </c>
      <c r="C75" s="1" t="s">
        <v>227</v>
      </c>
      <c r="D75" s="1" t="s">
        <v>228</v>
      </c>
      <c r="E75" s="1">
        <v>7</v>
      </c>
      <c r="F75" s="2">
        <v>0.15</v>
      </c>
      <c r="G75" s="2">
        <v>0.3</v>
      </c>
      <c r="H75" s="2">
        <v>0.4</v>
      </c>
    </row>
    <row r="76" spans="2:8" x14ac:dyDescent="0.45">
      <c r="B76" s="1" t="s">
        <v>229</v>
      </c>
      <c r="C76" s="1" t="s">
        <v>230</v>
      </c>
      <c r="D76" s="1" t="s">
        <v>231</v>
      </c>
      <c r="E76" s="1">
        <v>7</v>
      </c>
      <c r="F76" s="2">
        <v>0.15</v>
      </c>
      <c r="G76" s="2">
        <v>0.3</v>
      </c>
      <c r="H76" s="2">
        <v>0.4</v>
      </c>
    </row>
    <row r="77" spans="2:8" x14ac:dyDescent="0.45">
      <c r="B77" s="1" t="s">
        <v>232</v>
      </c>
      <c r="C77" s="1" t="s">
        <v>233</v>
      </c>
      <c r="D77" s="1" t="s">
        <v>234</v>
      </c>
      <c r="E77" s="1">
        <v>7</v>
      </c>
      <c r="F77" s="2">
        <v>0.15</v>
      </c>
      <c r="G77" s="2">
        <v>0.3</v>
      </c>
      <c r="H77" s="2">
        <v>0.4</v>
      </c>
    </row>
    <row r="78" spans="2:8" x14ac:dyDescent="0.45">
      <c r="B78" s="1" t="s">
        <v>235</v>
      </c>
      <c r="C78" s="1" t="s">
        <v>236</v>
      </c>
      <c r="D78" s="1" t="s">
        <v>237</v>
      </c>
      <c r="E78" s="1">
        <v>7</v>
      </c>
      <c r="F78" s="2">
        <v>0.2</v>
      </c>
      <c r="G78" s="2">
        <v>0.35</v>
      </c>
      <c r="H78" s="2">
        <v>0.5</v>
      </c>
    </row>
    <row r="79" spans="2:8" x14ac:dyDescent="0.45">
      <c r="B79" s="1" t="s">
        <v>238</v>
      </c>
      <c r="C79" s="1" t="s">
        <v>239</v>
      </c>
      <c r="D79" s="1" t="s">
        <v>240</v>
      </c>
      <c r="E79" s="1">
        <v>7</v>
      </c>
      <c r="F79" s="2">
        <v>0.1</v>
      </c>
      <c r="G79" s="2">
        <v>0.2</v>
      </c>
      <c r="H79" s="2">
        <v>0.3</v>
      </c>
    </row>
    <row r="80" spans="2:8" x14ac:dyDescent="0.45">
      <c r="B80" s="1" t="s">
        <v>241</v>
      </c>
      <c r="C80" s="1" t="s">
        <v>242</v>
      </c>
      <c r="D80" s="1" t="s">
        <v>243</v>
      </c>
      <c r="E80" s="1">
        <v>7</v>
      </c>
      <c r="F80" s="2">
        <v>0.2</v>
      </c>
      <c r="G80" s="2">
        <v>0.35</v>
      </c>
      <c r="H80" s="2">
        <v>0.5</v>
      </c>
    </row>
    <row r="81" spans="2:8" x14ac:dyDescent="0.45">
      <c r="B81" s="1" t="s">
        <v>244</v>
      </c>
      <c r="C81" s="1" t="s">
        <v>245</v>
      </c>
      <c r="D81" s="1" t="s">
        <v>246</v>
      </c>
      <c r="E81" s="1">
        <v>7</v>
      </c>
      <c r="F81" s="2">
        <v>0.2</v>
      </c>
      <c r="G81" s="2">
        <v>0.35</v>
      </c>
      <c r="H81" s="2">
        <v>0.5</v>
      </c>
    </row>
    <row r="82" spans="2:8" x14ac:dyDescent="0.45">
      <c r="B82" s="1" t="s">
        <v>247</v>
      </c>
      <c r="C82" s="1" t="s">
        <v>248</v>
      </c>
      <c r="D82" s="1" t="s">
        <v>249</v>
      </c>
      <c r="E82" s="1">
        <v>7</v>
      </c>
      <c r="F82" s="2">
        <v>0.05</v>
      </c>
      <c r="G82" s="2">
        <v>0.1</v>
      </c>
      <c r="H82" s="2">
        <v>0.2</v>
      </c>
    </row>
    <row r="83" spans="2:8" x14ac:dyDescent="0.45">
      <c r="B83" s="1" t="s">
        <v>250</v>
      </c>
      <c r="C83" s="1" t="s">
        <v>251</v>
      </c>
      <c r="D83" s="1" t="s">
        <v>252</v>
      </c>
      <c r="E83" s="1">
        <v>7</v>
      </c>
      <c r="F83" s="2">
        <v>0.3</v>
      </c>
      <c r="G83" s="2">
        <v>0.5</v>
      </c>
      <c r="H83" s="2">
        <v>0.7</v>
      </c>
    </row>
    <row r="84" spans="2:8" x14ac:dyDescent="0.45">
      <c r="B84" s="1" t="s">
        <v>253</v>
      </c>
      <c r="C84" s="1" t="s">
        <v>254</v>
      </c>
      <c r="D84" s="1" t="s">
        <v>255</v>
      </c>
      <c r="E84" s="1">
        <v>7</v>
      </c>
      <c r="F84" s="2">
        <v>0.2</v>
      </c>
      <c r="G84" s="2">
        <v>0.35</v>
      </c>
      <c r="H84" s="2">
        <v>0.5</v>
      </c>
    </row>
    <row r="85" spans="2:8" x14ac:dyDescent="0.45">
      <c r="B85" s="1" t="s">
        <v>256</v>
      </c>
      <c r="C85" s="1" t="s">
        <v>257</v>
      </c>
      <c r="D85" s="1" t="s">
        <v>258</v>
      </c>
      <c r="E85" s="1">
        <v>7</v>
      </c>
      <c r="F85" s="2">
        <v>0.2</v>
      </c>
      <c r="G85" s="2">
        <v>0.35</v>
      </c>
      <c r="H85" s="2">
        <v>0.5</v>
      </c>
    </row>
    <row r="86" spans="2:8" x14ac:dyDescent="0.45">
      <c r="B86" s="1" t="s">
        <v>259</v>
      </c>
      <c r="C86" s="1" t="s">
        <v>260</v>
      </c>
      <c r="D86" s="1" t="s">
        <v>261</v>
      </c>
      <c r="E86" s="1">
        <v>7</v>
      </c>
      <c r="F86" s="2">
        <v>0.05</v>
      </c>
      <c r="G86" s="2">
        <v>0.15</v>
      </c>
      <c r="H86" s="2">
        <v>0.25</v>
      </c>
    </row>
    <row r="87" spans="2:8" x14ac:dyDescent="0.45">
      <c r="B87" s="1" t="s">
        <v>262</v>
      </c>
      <c r="C87" s="1" t="s">
        <v>263</v>
      </c>
      <c r="D87" s="1" t="s">
        <v>264</v>
      </c>
      <c r="E87" s="1">
        <v>7</v>
      </c>
      <c r="F87" s="2">
        <v>0.15</v>
      </c>
      <c r="G87" s="2">
        <v>0.3</v>
      </c>
      <c r="H87" s="2">
        <v>0.4</v>
      </c>
    </row>
    <row r="88" spans="2:8" x14ac:dyDescent="0.45">
      <c r="B88" s="1" t="s">
        <v>265</v>
      </c>
      <c r="C88" s="1" t="s">
        <v>266</v>
      </c>
      <c r="D88" s="1" t="s">
        <v>267</v>
      </c>
      <c r="E88" s="1">
        <v>7</v>
      </c>
      <c r="F88" s="2">
        <v>0.1</v>
      </c>
      <c r="G88" s="2">
        <v>0.2</v>
      </c>
      <c r="H88" s="2">
        <v>0.3</v>
      </c>
    </row>
    <row r="89" spans="2:8" x14ac:dyDescent="0.45">
      <c r="B89" s="1" t="s">
        <v>268</v>
      </c>
      <c r="C89" s="1" t="s">
        <v>269</v>
      </c>
      <c r="D89" s="1" t="s">
        <v>270</v>
      </c>
      <c r="E89" s="1">
        <v>7</v>
      </c>
      <c r="F89" s="2">
        <v>0.25</v>
      </c>
      <c r="G89" s="2">
        <v>0.4</v>
      </c>
      <c r="H89" s="2">
        <v>0.6</v>
      </c>
    </row>
    <row r="90" spans="2:8" x14ac:dyDescent="0.45">
      <c r="B90" s="1" t="s">
        <v>271</v>
      </c>
      <c r="C90" s="1" t="s">
        <v>272</v>
      </c>
      <c r="D90" s="1" t="s">
        <v>273</v>
      </c>
      <c r="E90" s="1">
        <v>7</v>
      </c>
      <c r="F90" s="2">
        <v>0.25</v>
      </c>
      <c r="G90" s="2">
        <v>0.4</v>
      </c>
      <c r="H90" s="2">
        <v>0.6</v>
      </c>
    </row>
    <row r="91" spans="2:8" x14ac:dyDescent="0.45">
      <c r="B91" s="1" t="s">
        <v>274</v>
      </c>
      <c r="C91" s="1" t="s">
        <v>275</v>
      </c>
      <c r="D91" s="1" t="s">
        <v>276</v>
      </c>
      <c r="E91" s="1">
        <v>7</v>
      </c>
      <c r="F91" s="2">
        <v>0.15</v>
      </c>
      <c r="G91" s="2">
        <v>0.3</v>
      </c>
      <c r="H91" s="2">
        <v>0.4</v>
      </c>
    </row>
    <row r="92" spans="2:8" x14ac:dyDescent="0.45">
      <c r="B92" s="1" t="s">
        <v>277</v>
      </c>
      <c r="C92" s="1" t="s">
        <v>278</v>
      </c>
      <c r="D92" s="1" t="s">
        <v>279</v>
      </c>
      <c r="E92" s="1">
        <v>7</v>
      </c>
      <c r="F92" s="2">
        <v>0.2</v>
      </c>
      <c r="G92" s="2">
        <v>0.35</v>
      </c>
      <c r="H92" s="2">
        <v>0.5</v>
      </c>
    </row>
    <row r="93" spans="2:8" x14ac:dyDescent="0.45">
      <c r="B93" s="1" t="s">
        <v>280</v>
      </c>
      <c r="C93" s="1" t="s">
        <v>281</v>
      </c>
      <c r="D93" s="1" t="s">
        <v>282</v>
      </c>
      <c r="E93" s="1">
        <v>7</v>
      </c>
      <c r="F93" s="2">
        <v>0.2</v>
      </c>
      <c r="G93" s="2">
        <v>0.35</v>
      </c>
      <c r="H93" s="2">
        <v>0.5</v>
      </c>
    </row>
    <row r="94" spans="2:8" x14ac:dyDescent="0.45">
      <c r="B94" s="1" t="s">
        <v>283</v>
      </c>
      <c r="C94" s="1" t="s">
        <v>284</v>
      </c>
      <c r="D94" s="1" t="s">
        <v>285</v>
      </c>
      <c r="E94" s="1">
        <v>7</v>
      </c>
      <c r="F94" s="2">
        <v>0.2</v>
      </c>
      <c r="G94" s="2">
        <v>0.35</v>
      </c>
      <c r="H94" s="2">
        <v>0.5</v>
      </c>
    </row>
    <row r="95" spans="2:8" x14ac:dyDescent="0.45">
      <c r="B95" s="1" t="s">
        <v>286</v>
      </c>
      <c r="C95" s="1" t="s">
        <v>287</v>
      </c>
      <c r="D95" s="1" t="s">
        <v>288</v>
      </c>
      <c r="E95" s="1">
        <v>7</v>
      </c>
      <c r="F95" s="2">
        <v>0.1</v>
      </c>
      <c r="G95" s="2">
        <v>0.2</v>
      </c>
      <c r="H95" s="2">
        <v>0.3</v>
      </c>
    </row>
    <row r="96" spans="2:8" x14ac:dyDescent="0.45">
      <c r="B96" s="1" t="s">
        <v>289</v>
      </c>
      <c r="C96" s="1" t="s">
        <v>290</v>
      </c>
      <c r="D96" s="1" t="s">
        <v>291</v>
      </c>
      <c r="E96" s="1">
        <v>7</v>
      </c>
      <c r="F96" s="2">
        <v>0.3</v>
      </c>
      <c r="G96" s="2">
        <v>0.5</v>
      </c>
      <c r="H96" s="2">
        <v>0.7</v>
      </c>
    </row>
    <row r="97" spans="2:8" x14ac:dyDescent="0.45">
      <c r="B97" s="1" t="s">
        <v>292</v>
      </c>
      <c r="C97" s="1" t="s">
        <v>293</v>
      </c>
      <c r="D97" s="1" t="s">
        <v>294</v>
      </c>
      <c r="E97" s="1">
        <v>7</v>
      </c>
      <c r="F97" s="2">
        <v>0.15</v>
      </c>
      <c r="G97" s="2">
        <v>0.3</v>
      </c>
      <c r="H97" s="2">
        <v>0.4</v>
      </c>
    </row>
    <row r="98" spans="2:8" x14ac:dyDescent="0.45">
      <c r="B98" s="1" t="s">
        <v>295</v>
      </c>
      <c r="C98" s="1" t="s">
        <v>296</v>
      </c>
      <c r="D98" s="1" t="s">
        <v>297</v>
      </c>
      <c r="E98" s="1">
        <v>7</v>
      </c>
      <c r="F98" s="2">
        <v>0.3</v>
      </c>
      <c r="G98" s="2">
        <v>0.5</v>
      </c>
      <c r="H98" s="2">
        <v>0.7</v>
      </c>
    </row>
    <row r="99" spans="2:8" x14ac:dyDescent="0.45">
      <c r="B99" s="1" t="s">
        <v>298</v>
      </c>
      <c r="C99" s="1" t="s">
        <v>299</v>
      </c>
      <c r="D99" s="1" t="s">
        <v>300</v>
      </c>
      <c r="E99" s="1">
        <v>7</v>
      </c>
      <c r="F99" s="2">
        <v>0.25</v>
      </c>
      <c r="G99" s="2">
        <v>0.4</v>
      </c>
      <c r="H99" s="2">
        <v>0.6</v>
      </c>
    </row>
    <row r="100" spans="2:8" x14ac:dyDescent="0.45">
      <c r="B100" s="1" t="s">
        <v>301</v>
      </c>
      <c r="C100" s="1" t="s">
        <v>302</v>
      </c>
      <c r="D100" s="1" t="s">
        <v>303</v>
      </c>
      <c r="E100" s="1">
        <v>7</v>
      </c>
      <c r="F100" s="2">
        <v>0.3</v>
      </c>
      <c r="G100" s="2">
        <v>0.5</v>
      </c>
      <c r="H100" s="2">
        <v>0.7</v>
      </c>
    </row>
    <row r="101" spans="2:8" x14ac:dyDescent="0.45">
      <c r="B101" s="1" t="s">
        <v>304</v>
      </c>
      <c r="C101" s="1" t="s">
        <v>305</v>
      </c>
      <c r="D101" s="1" t="s">
        <v>306</v>
      </c>
      <c r="E101" s="1">
        <v>7</v>
      </c>
      <c r="F101" s="2">
        <v>0.15</v>
      </c>
      <c r="G101" s="2">
        <v>0.3</v>
      </c>
      <c r="H101" s="2">
        <v>0.4</v>
      </c>
    </row>
    <row r="102" spans="2:8" x14ac:dyDescent="0.45">
      <c r="B102" s="1" t="s">
        <v>307</v>
      </c>
      <c r="C102" s="1" t="s">
        <v>308</v>
      </c>
      <c r="D102" s="1" t="s">
        <v>309</v>
      </c>
      <c r="E102" s="1">
        <v>7</v>
      </c>
      <c r="F102" s="2">
        <v>0.3</v>
      </c>
      <c r="G102" s="2">
        <v>0.5</v>
      </c>
      <c r="H102" s="2">
        <v>0.7</v>
      </c>
    </row>
    <row r="103" spans="2:8" x14ac:dyDescent="0.45">
      <c r="B103" s="1" t="s">
        <v>310</v>
      </c>
      <c r="C103" s="1" t="s">
        <v>311</v>
      </c>
      <c r="D103" s="1" t="s">
        <v>312</v>
      </c>
      <c r="E103" s="1">
        <v>7</v>
      </c>
      <c r="F103" s="2">
        <v>0.25</v>
      </c>
      <c r="G103" s="2">
        <v>0.4</v>
      </c>
      <c r="H103" s="2">
        <v>0.6</v>
      </c>
    </row>
    <row r="104" spans="2:8" x14ac:dyDescent="0.45">
      <c r="B104" s="1" t="s">
        <v>313</v>
      </c>
      <c r="C104" s="1" t="s">
        <v>314</v>
      </c>
      <c r="D104" s="1" t="s">
        <v>315</v>
      </c>
      <c r="E104" s="1">
        <v>7</v>
      </c>
      <c r="F104" s="2">
        <v>0.2</v>
      </c>
      <c r="G104" s="2">
        <v>0.35</v>
      </c>
      <c r="H104" s="2">
        <v>0.5</v>
      </c>
    </row>
    <row r="105" spans="2:8" x14ac:dyDescent="0.45">
      <c r="B105" s="1" t="s">
        <v>316</v>
      </c>
      <c r="C105" s="1" t="s">
        <v>317</v>
      </c>
      <c r="D105" s="1" t="s">
        <v>318</v>
      </c>
      <c r="E105" s="1">
        <v>7</v>
      </c>
      <c r="F105" s="2">
        <v>0.2</v>
      </c>
      <c r="G105" s="2">
        <v>0.35</v>
      </c>
      <c r="H105" s="2">
        <v>0.5</v>
      </c>
    </row>
    <row r="106" spans="2:8" x14ac:dyDescent="0.45">
      <c r="B106" s="1" t="s">
        <v>319</v>
      </c>
      <c r="C106" s="1" t="s">
        <v>320</v>
      </c>
      <c r="D106" s="1" t="s">
        <v>321</v>
      </c>
      <c r="E106" s="1">
        <v>7</v>
      </c>
      <c r="F106" s="2">
        <v>0.25</v>
      </c>
      <c r="G106" s="2">
        <v>0.4</v>
      </c>
      <c r="H106" s="2">
        <v>0.6</v>
      </c>
    </row>
    <row r="107" spans="2:8" x14ac:dyDescent="0.45">
      <c r="B107" s="1" t="s">
        <v>322</v>
      </c>
      <c r="C107" s="1" t="s">
        <v>323</v>
      </c>
      <c r="D107" s="1" t="s">
        <v>324</v>
      </c>
      <c r="E107" s="1">
        <v>7</v>
      </c>
      <c r="F107" s="2">
        <v>0.15</v>
      </c>
      <c r="G107" s="2">
        <v>0.3</v>
      </c>
      <c r="H107" s="2">
        <v>0.4</v>
      </c>
    </row>
    <row r="108" spans="2:8" x14ac:dyDescent="0.45">
      <c r="B108" s="1" t="s">
        <v>325</v>
      </c>
      <c r="C108" s="1" t="s">
        <v>326</v>
      </c>
      <c r="D108" s="1" t="s">
        <v>327</v>
      </c>
      <c r="E108" s="1">
        <v>7</v>
      </c>
      <c r="F108" s="2">
        <v>0.2</v>
      </c>
      <c r="G108" s="2">
        <v>0.35</v>
      </c>
      <c r="H108" s="2">
        <v>0.5</v>
      </c>
    </row>
    <row r="109" spans="2:8" x14ac:dyDescent="0.45">
      <c r="B109" s="1" t="s">
        <v>328</v>
      </c>
      <c r="C109" s="1" t="s">
        <v>329</v>
      </c>
      <c r="D109" s="1" t="s">
        <v>330</v>
      </c>
      <c r="E109" s="1">
        <v>7</v>
      </c>
      <c r="F109" s="2">
        <v>0.25</v>
      </c>
      <c r="G109" s="2">
        <v>0.4</v>
      </c>
      <c r="H109" s="2">
        <v>0.6</v>
      </c>
    </row>
    <row r="110" spans="2:8" x14ac:dyDescent="0.45">
      <c r="B110" s="1" t="s">
        <v>331</v>
      </c>
      <c r="C110" s="1" t="s">
        <v>332</v>
      </c>
      <c r="D110" s="1" t="s">
        <v>333</v>
      </c>
      <c r="E110" s="1">
        <v>7</v>
      </c>
      <c r="F110" s="2">
        <v>0.2</v>
      </c>
      <c r="G110" s="2">
        <v>0.35</v>
      </c>
      <c r="H110" s="2">
        <v>0.5</v>
      </c>
    </row>
    <row r="111" spans="2:8" x14ac:dyDescent="0.45">
      <c r="B111" s="1" t="s">
        <v>334</v>
      </c>
      <c r="C111" s="1" t="s">
        <v>335</v>
      </c>
      <c r="D111" s="1" t="s">
        <v>336</v>
      </c>
      <c r="E111" s="1">
        <v>7</v>
      </c>
      <c r="F111" s="2">
        <v>0.2</v>
      </c>
      <c r="G111" s="2">
        <v>0.35</v>
      </c>
      <c r="H111" s="2">
        <v>0.5</v>
      </c>
    </row>
    <row r="112" spans="2:8" x14ac:dyDescent="0.45">
      <c r="B112" s="1" t="s">
        <v>337</v>
      </c>
      <c r="C112" s="1" t="s">
        <v>338</v>
      </c>
      <c r="D112" s="1" t="s">
        <v>339</v>
      </c>
      <c r="E112" s="1">
        <v>7</v>
      </c>
      <c r="F112" s="2">
        <v>0.1</v>
      </c>
      <c r="G112" s="2">
        <v>0.2</v>
      </c>
      <c r="H112" s="2">
        <v>0.3</v>
      </c>
    </row>
    <row r="113" spans="2:8" x14ac:dyDescent="0.45">
      <c r="B113" s="1" t="s">
        <v>340</v>
      </c>
      <c r="C113" s="1" t="s">
        <v>341</v>
      </c>
      <c r="D113" s="1" t="s">
        <v>342</v>
      </c>
      <c r="E113" s="1">
        <v>7</v>
      </c>
      <c r="F113" s="2">
        <v>0.1</v>
      </c>
      <c r="G113" s="2">
        <v>0.2</v>
      </c>
      <c r="H113" s="2">
        <v>0.3</v>
      </c>
    </row>
    <row r="114" spans="2:8" x14ac:dyDescent="0.45">
      <c r="B114" s="1" t="s">
        <v>343</v>
      </c>
      <c r="C114" s="1" t="s">
        <v>344</v>
      </c>
      <c r="D114" s="1" t="s">
        <v>345</v>
      </c>
      <c r="E114" s="1">
        <v>7</v>
      </c>
      <c r="F114" s="2">
        <v>0.1</v>
      </c>
      <c r="G114" s="2">
        <v>0.2</v>
      </c>
      <c r="H114" s="2">
        <v>0.3</v>
      </c>
    </row>
    <row r="115" spans="2:8" x14ac:dyDescent="0.45">
      <c r="B115" s="1" t="s">
        <v>346</v>
      </c>
      <c r="C115" s="1" t="s">
        <v>347</v>
      </c>
      <c r="D115" s="1" t="s">
        <v>348</v>
      </c>
      <c r="E115" s="1">
        <v>7</v>
      </c>
      <c r="F115" s="2">
        <v>0.25</v>
      </c>
      <c r="G115" s="2">
        <v>0.4</v>
      </c>
      <c r="H115" s="2">
        <v>0.6</v>
      </c>
    </row>
    <row r="116" spans="2:8" x14ac:dyDescent="0.45">
      <c r="B116" s="1" t="s">
        <v>349</v>
      </c>
      <c r="C116" s="1" t="s">
        <v>350</v>
      </c>
      <c r="D116" s="1" t="s">
        <v>351</v>
      </c>
      <c r="E116" s="1">
        <v>7</v>
      </c>
      <c r="F116" s="2">
        <v>0.1</v>
      </c>
      <c r="G116" s="2">
        <v>0.2</v>
      </c>
      <c r="H116" s="2">
        <v>0.3</v>
      </c>
    </row>
    <row r="117" spans="2:8" x14ac:dyDescent="0.45">
      <c r="B117" s="1" t="s">
        <v>352</v>
      </c>
      <c r="C117" s="1" t="s">
        <v>353</v>
      </c>
      <c r="D117" s="1" t="s">
        <v>354</v>
      </c>
      <c r="E117" s="1">
        <v>7</v>
      </c>
      <c r="F117" s="2">
        <v>0.3</v>
      </c>
      <c r="G117" s="2">
        <v>0.5</v>
      </c>
      <c r="H117" s="2">
        <v>0.7</v>
      </c>
    </row>
    <row r="118" spans="2:8" x14ac:dyDescent="0.45">
      <c r="B118" s="1" t="s">
        <v>355</v>
      </c>
      <c r="C118" s="1" t="s">
        <v>356</v>
      </c>
      <c r="D118" s="1" t="s">
        <v>357</v>
      </c>
      <c r="E118" s="1">
        <v>7</v>
      </c>
      <c r="F118" s="2">
        <v>0.15</v>
      </c>
      <c r="G118" s="2">
        <v>0.3</v>
      </c>
      <c r="H118" s="2">
        <v>0.4</v>
      </c>
    </row>
    <row r="119" spans="2:8" x14ac:dyDescent="0.45">
      <c r="B119" s="1" t="s">
        <v>358</v>
      </c>
      <c r="C119" s="1" t="s">
        <v>359</v>
      </c>
      <c r="D119" s="1" t="s">
        <v>360</v>
      </c>
      <c r="E119" s="1">
        <v>7</v>
      </c>
      <c r="F119" s="2">
        <v>0.1</v>
      </c>
      <c r="G119" s="2">
        <v>0.2</v>
      </c>
      <c r="H119" s="2">
        <v>0.3</v>
      </c>
    </row>
    <row r="120" spans="2:8" x14ac:dyDescent="0.45">
      <c r="B120" s="1" t="s">
        <v>361</v>
      </c>
      <c r="C120" s="1" t="s">
        <v>362</v>
      </c>
      <c r="D120" s="1" t="s">
        <v>363</v>
      </c>
      <c r="E120" s="1">
        <v>7</v>
      </c>
      <c r="F120" s="2">
        <v>0.05</v>
      </c>
      <c r="G120" s="2">
        <v>0.1</v>
      </c>
      <c r="H120" s="2">
        <v>0.2</v>
      </c>
    </row>
    <row r="121" spans="2:8" x14ac:dyDescent="0.45">
      <c r="B121" s="1" t="s">
        <v>364</v>
      </c>
      <c r="C121" s="1" t="s">
        <v>365</v>
      </c>
      <c r="D121" s="1" t="s">
        <v>366</v>
      </c>
      <c r="E121" s="1">
        <v>7</v>
      </c>
      <c r="F121" s="2">
        <v>0.15</v>
      </c>
      <c r="G121" s="2">
        <v>0.3</v>
      </c>
      <c r="H121" s="2">
        <v>0.4</v>
      </c>
    </row>
    <row r="122" spans="2:8" x14ac:dyDescent="0.45">
      <c r="B122" s="1" t="s">
        <v>367</v>
      </c>
      <c r="C122" s="1" t="s">
        <v>368</v>
      </c>
      <c r="D122" s="1" t="s">
        <v>369</v>
      </c>
      <c r="E122" s="1">
        <v>7</v>
      </c>
      <c r="F122" s="2">
        <v>0.25</v>
      </c>
      <c r="G122" s="2">
        <v>0.4</v>
      </c>
      <c r="H122" s="2">
        <v>0.6</v>
      </c>
    </row>
    <row r="123" spans="2:8" x14ac:dyDescent="0.45">
      <c r="B123" s="1" t="s">
        <v>370</v>
      </c>
      <c r="C123" s="1" t="s">
        <v>371</v>
      </c>
      <c r="D123" s="1" t="s">
        <v>372</v>
      </c>
      <c r="E123" s="1">
        <v>7</v>
      </c>
      <c r="F123" s="2">
        <v>0.2</v>
      </c>
      <c r="G123" s="2">
        <v>0.35</v>
      </c>
      <c r="H123" s="2">
        <v>0.5</v>
      </c>
    </row>
    <row r="124" spans="2:8" x14ac:dyDescent="0.45">
      <c r="B124" s="1" t="s">
        <v>373</v>
      </c>
      <c r="C124" s="1" t="s">
        <v>374</v>
      </c>
      <c r="D124" s="1" t="s">
        <v>375</v>
      </c>
      <c r="E124" s="1">
        <v>7</v>
      </c>
      <c r="F124" s="2">
        <v>0.05</v>
      </c>
      <c r="G124" s="2">
        <v>0.1</v>
      </c>
      <c r="H124" s="2">
        <v>0.2</v>
      </c>
    </row>
    <row r="125" spans="2:8" x14ac:dyDescent="0.45">
      <c r="B125" s="1" t="s">
        <v>376</v>
      </c>
      <c r="C125" s="1" t="s">
        <v>377</v>
      </c>
      <c r="D125" s="1" t="s">
        <v>378</v>
      </c>
      <c r="E125" s="1">
        <v>7</v>
      </c>
      <c r="F125" s="2">
        <v>0.1</v>
      </c>
      <c r="G125" s="2">
        <v>0.2</v>
      </c>
      <c r="H125" s="2">
        <v>0.3</v>
      </c>
    </row>
    <row r="126" spans="2:8" x14ac:dyDescent="0.45">
      <c r="B126" s="1" t="s">
        <v>379</v>
      </c>
      <c r="C126" s="1" t="s">
        <v>380</v>
      </c>
      <c r="D126" s="1" t="s">
        <v>381</v>
      </c>
      <c r="E126" s="1">
        <v>7</v>
      </c>
      <c r="F126" s="2">
        <v>0.1</v>
      </c>
      <c r="G126" s="2">
        <v>0.2</v>
      </c>
      <c r="H126" s="2">
        <v>0.3</v>
      </c>
    </row>
    <row r="127" spans="2:8" x14ac:dyDescent="0.45">
      <c r="B127" s="1" t="s">
        <v>382</v>
      </c>
      <c r="C127" s="1" t="s">
        <v>383</v>
      </c>
      <c r="D127" s="1" t="s">
        <v>384</v>
      </c>
      <c r="E127" s="1">
        <v>7</v>
      </c>
      <c r="F127" s="2">
        <v>0.05</v>
      </c>
      <c r="G127" s="2">
        <v>0.1</v>
      </c>
      <c r="H127" s="2">
        <v>0.2</v>
      </c>
    </row>
    <row r="128" spans="2:8" x14ac:dyDescent="0.45">
      <c r="B128" s="1" t="s">
        <v>385</v>
      </c>
      <c r="C128" s="1" t="s">
        <v>386</v>
      </c>
      <c r="D128" s="1" t="s">
        <v>387</v>
      </c>
      <c r="E128" s="1">
        <v>7</v>
      </c>
      <c r="F128" s="2">
        <v>0.2</v>
      </c>
      <c r="G128" s="2">
        <v>0.35</v>
      </c>
      <c r="H128" s="2">
        <v>0.5</v>
      </c>
    </row>
    <row r="129" spans="2:8" x14ac:dyDescent="0.45">
      <c r="B129" s="1" t="s">
        <v>388</v>
      </c>
      <c r="C129" s="1" t="s">
        <v>389</v>
      </c>
      <c r="D129" s="1" t="s">
        <v>390</v>
      </c>
      <c r="E129" s="1">
        <v>7</v>
      </c>
      <c r="F129" s="2">
        <v>0.25</v>
      </c>
      <c r="G129" s="2">
        <v>0.4</v>
      </c>
      <c r="H129" s="2">
        <v>0.6</v>
      </c>
    </row>
    <row r="130" spans="2:8" x14ac:dyDescent="0.45">
      <c r="B130" s="1" t="s">
        <v>391</v>
      </c>
      <c r="C130" s="1" t="s">
        <v>392</v>
      </c>
      <c r="D130" s="1" t="s">
        <v>393</v>
      </c>
      <c r="E130" s="1">
        <v>7</v>
      </c>
      <c r="F130" s="2">
        <v>0.15</v>
      </c>
      <c r="G130" s="2">
        <v>0.3</v>
      </c>
      <c r="H130" s="2">
        <v>0.4</v>
      </c>
    </row>
    <row r="131" spans="2:8" x14ac:dyDescent="0.45">
      <c r="B131" s="1" t="s">
        <v>394</v>
      </c>
      <c r="C131" s="1" t="s">
        <v>395</v>
      </c>
      <c r="D131" s="1" t="s">
        <v>396</v>
      </c>
      <c r="E131" s="1">
        <v>7</v>
      </c>
      <c r="F131" s="2">
        <v>0.1</v>
      </c>
      <c r="G131" s="2">
        <v>0.2</v>
      </c>
      <c r="H131" s="2">
        <v>0.3</v>
      </c>
    </row>
    <row r="132" spans="2:8" x14ac:dyDescent="0.45">
      <c r="B132" s="1" t="s">
        <v>397</v>
      </c>
      <c r="C132" s="1" t="s">
        <v>398</v>
      </c>
      <c r="D132" s="1" t="s">
        <v>399</v>
      </c>
      <c r="E132" s="1">
        <v>7</v>
      </c>
      <c r="F132" s="2">
        <v>0.05</v>
      </c>
      <c r="G132" s="2">
        <v>0.1</v>
      </c>
      <c r="H132" s="2">
        <v>0.2</v>
      </c>
    </row>
    <row r="133" spans="2:8" x14ac:dyDescent="0.45">
      <c r="B133" s="1" t="s">
        <v>400</v>
      </c>
      <c r="C133" s="1" t="s">
        <v>401</v>
      </c>
      <c r="D133" s="1" t="s">
        <v>402</v>
      </c>
      <c r="E133" s="1">
        <v>7</v>
      </c>
      <c r="F133" s="2">
        <v>0.05</v>
      </c>
      <c r="G133" s="2">
        <v>0.15</v>
      </c>
      <c r="H133" s="2">
        <v>0.25</v>
      </c>
    </row>
    <row r="134" spans="2:8" x14ac:dyDescent="0.45">
      <c r="B134" s="1" t="s">
        <v>403</v>
      </c>
      <c r="C134" s="1" t="s">
        <v>404</v>
      </c>
      <c r="D134" s="1" t="s">
        <v>405</v>
      </c>
      <c r="E134" s="1">
        <v>7</v>
      </c>
      <c r="F134" s="2">
        <v>0.2</v>
      </c>
      <c r="G134" s="2">
        <v>0.35</v>
      </c>
      <c r="H134" s="2">
        <v>0.5</v>
      </c>
    </row>
    <row r="135" spans="2:8" x14ac:dyDescent="0.45">
      <c r="B135" s="1" t="s">
        <v>406</v>
      </c>
      <c r="C135" s="1" t="s">
        <v>407</v>
      </c>
      <c r="D135" s="1" t="s">
        <v>408</v>
      </c>
      <c r="E135" s="1">
        <v>7</v>
      </c>
      <c r="F135" s="2">
        <v>0.2</v>
      </c>
      <c r="G135" s="2">
        <v>0.35</v>
      </c>
      <c r="H135" s="2">
        <v>0.5</v>
      </c>
    </row>
    <row r="136" spans="2:8" x14ac:dyDescent="0.45">
      <c r="B136" s="1" t="s">
        <v>409</v>
      </c>
      <c r="C136" s="1" t="s">
        <v>521</v>
      </c>
      <c r="D136" s="1" t="s">
        <v>410</v>
      </c>
      <c r="E136" s="1">
        <v>7</v>
      </c>
      <c r="F136" s="2">
        <v>0.05</v>
      </c>
      <c r="G136" s="2">
        <v>0.1</v>
      </c>
      <c r="H136" s="2">
        <v>0.2</v>
      </c>
    </row>
    <row r="137" spans="2:8" x14ac:dyDescent="0.45">
      <c r="B137" s="1" t="s">
        <v>411</v>
      </c>
      <c r="C137" s="1" t="s">
        <v>412</v>
      </c>
      <c r="D137" s="1" t="s">
        <v>413</v>
      </c>
      <c r="E137" s="1">
        <v>7</v>
      </c>
      <c r="F137" s="2">
        <v>0.3</v>
      </c>
      <c r="G137" s="2">
        <v>0.5</v>
      </c>
      <c r="H137" s="2">
        <v>0.7</v>
      </c>
    </row>
    <row r="138" spans="2:8" x14ac:dyDescent="0.45">
      <c r="B138" s="1" t="s">
        <v>414</v>
      </c>
      <c r="C138" s="1" t="s">
        <v>415</v>
      </c>
      <c r="D138" s="1" t="s">
        <v>416</v>
      </c>
      <c r="E138" s="1">
        <v>7</v>
      </c>
      <c r="F138" s="2">
        <v>0.2</v>
      </c>
      <c r="G138" s="2">
        <v>0.35</v>
      </c>
      <c r="H138" s="2">
        <v>0.5</v>
      </c>
    </row>
    <row r="139" spans="2:8" x14ac:dyDescent="0.45">
      <c r="B139" s="1" t="s">
        <v>417</v>
      </c>
      <c r="C139" s="1" t="s">
        <v>418</v>
      </c>
      <c r="D139" s="1" t="s">
        <v>419</v>
      </c>
      <c r="E139" s="1">
        <v>7</v>
      </c>
      <c r="F139" s="2">
        <v>0.1</v>
      </c>
      <c r="G139" s="2">
        <v>0.2</v>
      </c>
      <c r="H139" s="2">
        <v>0.3</v>
      </c>
    </row>
    <row r="140" spans="2:8" x14ac:dyDescent="0.45">
      <c r="B140" s="1" t="s">
        <v>420</v>
      </c>
      <c r="C140" s="1" t="s">
        <v>421</v>
      </c>
      <c r="D140" s="1" t="s">
        <v>422</v>
      </c>
      <c r="E140" s="1">
        <v>7</v>
      </c>
      <c r="F140" s="2">
        <v>0.15</v>
      </c>
      <c r="G140" s="2">
        <v>0.3</v>
      </c>
      <c r="H140" s="2">
        <v>0.4</v>
      </c>
    </row>
    <row r="141" spans="2:8" x14ac:dyDescent="0.45">
      <c r="B141" s="1" t="s">
        <v>423</v>
      </c>
      <c r="C141" s="1" t="s">
        <v>424</v>
      </c>
      <c r="D141" s="1" t="s">
        <v>425</v>
      </c>
      <c r="E141" s="1">
        <v>7</v>
      </c>
      <c r="F141" s="2">
        <v>0.15</v>
      </c>
      <c r="G141" s="2">
        <v>0.3</v>
      </c>
      <c r="H141" s="2">
        <v>0.4</v>
      </c>
    </row>
    <row r="142" spans="2:8" x14ac:dyDescent="0.45">
      <c r="B142" s="1" t="s">
        <v>426</v>
      </c>
      <c r="C142" s="1" t="s">
        <v>427</v>
      </c>
      <c r="D142" s="1" t="s">
        <v>428</v>
      </c>
      <c r="E142" s="1">
        <v>7</v>
      </c>
      <c r="F142" s="2">
        <v>0.25</v>
      </c>
      <c r="G142" s="2">
        <v>0.4</v>
      </c>
      <c r="H142" s="2">
        <v>0.6</v>
      </c>
    </row>
    <row r="143" spans="2:8" x14ac:dyDescent="0.45">
      <c r="B143" s="1" t="s">
        <v>429</v>
      </c>
      <c r="C143" s="1" t="s">
        <v>430</v>
      </c>
      <c r="D143" s="1" t="s">
        <v>431</v>
      </c>
      <c r="E143" s="1">
        <v>7</v>
      </c>
      <c r="F143" s="2">
        <v>0.15</v>
      </c>
      <c r="G143" s="2">
        <v>0.3</v>
      </c>
      <c r="H143" s="2">
        <v>0.4</v>
      </c>
    </row>
    <row r="144" spans="2:8" x14ac:dyDescent="0.45">
      <c r="B144" s="1" t="s">
        <v>432</v>
      </c>
      <c r="C144" s="1" t="s">
        <v>433</v>
      </c>
      <c r="D144" s="1" t="s">
        <v>434</v>
      </c>
      <c r="E144" s="1">
        <v>7</v>
      </c>
      <c r="F144" s="2">
        <v>0.2</v>
      </c>
      <c r="G144" s="2">
        <v>0.35</v>
      </c>
      <c r="H144" s="2">
        <v>0.5</v>
      </c>
    </row>
    <row r="145" spans="2:8" x14ac:dyDescent="0.45">
      <c r="B145" s="1" t="s">
        <v>435</v>
      </c>
      <c r="C145" s="1" t="s">
        <v>436</v>
      </c>
      <c r="D145" s="1" t="s">
        <v>437</v>
      </c>
      <c r="E145" s="1">
        <v>7</v>
      </c>
      <c r="F145" s="2">
        <v>0.15</v>
      </c>
      <c r="G145" s="2">
        <v>0.3</v>
      </c>
      <c r="H145" s="2">
        <v>0.4</v>
      </c>
    </row>
    <row r="146" spans="2:8" x14ac:dyDescent="0.45">
      <c r="B146" s="1" t="s">
        <v>438</v>
      </c>
      <c r="C146" s="1" t="s">
        <v>439</v>
      </c>
      <c r="D146" s="1" t="s">
        <v>440</v>
      </c>
      <c r="E146" s="1">
        <v>7</v>
      </c>
      <c r="F146" s="2">
        <v>0.15</v>
      </c>
      <c r="G146" s="2">
        <v>0.3</v>
      </c>
      <c r="H146" s="2">
        <v>0.4</v>
      </c>
    </row>
    <row r="147" spans="2:8" x14ac:dyDescent="0.45">
      <c r="B147" s="1" t="s">
        <v>441</v>
      </c>
      <c r="C147" s="1" t="s">
        <v>442</v>
      </c>
      <c r="D147" s="1" t="s">
        <v>443</v>
      </c>
      <c r="E147" s="1">
        <v>7</v>
      </c>
      <c r="F147" s="2">
        <v>0.05</v>
      </c>
      <c r="G147" s="2">
        <v>0.1</v>
      </c>
      <c r="H147" s="2">
        <v>0.2</v>
      </c>
    </row>
    <row r="148" spans="2:8" x14ac:dyDescent="0.45">
      <c r="B148" s="1" t="s">
        <v>444</v>
      </c>
      <c r="C148" s="1" t="s">
        <v>445</v>
      </c>
      <c r="D148" s="1" t="s">
        <v>446</v>
      </c>
      <c r="E148" s="1">
        <v>7</v>
      </c>
      <c r="F148" s="2">
        <v>0.15</v>
      </c>
      <c r="G148" s="2">
        <v>0.3</v>
      </c>
      <c r="H148" s="2">
        <v>0.4</v>
      </c>
    </row>
    <row r="149" spans="2:8" x14ac:dyDescent="0.45">
      <c r="B149" s="1" t="s">
        <v>447</v>
      </c>
      <c r="C149" s="1" t="s">
        <v>448</v>
      </c>
      <c r="D149" s="1" t="s">
        <v>449</v>
      </c>
      <c r="E149" s="1">
        <v>7</v>
      </c>
      <c r="F149" s="2">
        <v>0.15</v>
      </c>
      <c r="G149" s="2">
        <v>0.3</v>
      </c>
      <c r="H149" s="2">
        <v>0.4</v>
      </c>
    </row>
    <row r="150" spans="2:8" x14ac:dyDescent="0.45">
      <c r="B150" s="1" t="s">
        <v>450</v>
      </c>
      <c r="C150" s="1" t="s">
        <v>451</v>
      </c>
      <c r="D150" s="1" t="s">
        <v>452</v>
      </c>
      <c r="E150" s="1">
        <v>7</v>
      </c>
      <c r="F150" s="2">
        <v>0.3</v>
      </c>
      <c r="G150" s="2">
        <v>0.5</v>
      </c>
      <c r="H150" s="2">
        <v>0.7</v>
      </c>
    </row>
    <row r="151" spans="2:8" x14ac:dyDescent="0.45">
      <c r="B151" s="1" t="s">
        <v>453</v>
      </c>
      <c r="C151" s="1" t="s">
        <v>454</v>
      </c>
      <c r="D151" s="1" t="s">
        <v>455</v>
      </c>
      <c r="E151" s="1">
        <v>7</v>
      </c>
      <c r="F151" s="2">
        <v>0.05</v>
      </c>
      <c r="G151" s="2">
        <v>0.15</v>
      </c>
      <c r="H151" s="2">
        <v>0.25</v>
      </c>
    </row>
    <row r="152" spans="2:8" x14ac:dyDescent="0.45">
      <c r="B152" s="1" t="s">
        <v>456</v>
      </c>
      <c r="C152" s="1" t="s">
        <v>457</v>
      </c>
      <c r="D152" s="1" t="s">
        <v>458</v>
      </c>
      <c r="E152" s="1">
        <v>7</v>
      </c>
      <c r="F152" s="2">
        <v>0.2</v>
      </c>
      <c r="G152" s="2">
        <v>0.35</v>
      </c>
      <c r="H152" s="2">
        <v>0.5</v>
      </c>
    </row>
    <row r="153" spans="2:8" x14ac:dyDescent="0.45">
      <c r="B153" s="1" t="s">
        <v>459</v>
      </c>
      <c r="C153" s="1" t="s">
        <v>460</v>
      </c>
      <c r="D153" s="1" t="s">
        <v>461</v>
      </c>
      <c r="E153" s="1">
        <v>7</v>
      </c>
      <c r="F153" s="2">
        <v>0.1</v>
      </c>
      <c r="G153" s="2">
        <v>0.2</v>
      </c>
      <c r="H153" s="2">
        <v>0.3</v>
      </c>
    </row>
    <row r="154" spans="2:8" x14ac:dyDescent="0.45">
      <c r="B154" s="1" t="s">
        <v>462</v>
      </c>
      <c r="C154" s="1" t="s">
        <v>463</v>
      </c>
      <c r="D154" s="1" t="s">
        <v>464</v>
      </c>
      <c r="E154" s="1">
        <v>7</v>
      </c>
      <c r="F154" s="2">
        <v>0.05</v>
      </c>
      <c r="G154" s="2">
        <v>0.15</v>
      </c>
      <c r="H154" s="2">
        <v>0.25</v>
      </c>
    </row>
    <row r="155" spans="2:8" x14ac:dyDescent="0.45">
      <c r="B155" s="1" t="s">
        <v>465</v>
      </c>
      <c r="C155" s="1" t="s">
        <v>466</v>
      </c>
      <c r="D155" s="1" t="s">
        <v>467</v>
      </c>
      <c r="E155" s="1">
        <v>7</v>
      </c>
      <c r="F155" s="2">
        <v>0.05</v>
      </c>
      <c r="G155" s="2">
        <v>0.15</v>
      </c>
      <c r="H155" s="2">
        <v>0.25</v>
      </c>
    </row>
    <row r="156" spans="2:8" x14ac:dyDescent="0.45">
      <c r="B156" s="1" t="s">
        <v>468</v>
      </c>
      <c r="C156" s="1" t="s">
        <v>469</v>
      </c>
      <c r="D156" s="1" t="s">
        <v>470</v>
      </c>
      <c r="E156" s="1">
        <v>7</v>
      </c>
      <c r="F156" s="2">
        <v>0.25</v>
      </c>
      <c r="G156" s="2">
        <v>0.4</v>
      </c>
      <c r="H156" s="2">
        <v>0.6</v>
      </c>
    </row>
    <row r="157" spans="2:8" x14ac:dyDescent="0.45">
      <c r="B157" s="1" t="s">
        <v>471</v>
      </c>
      <c r="C157" s="1" t="s">
        <v>472</v>
      </c>
      <c r="D157" s="1" t="s">
        <v>473</v>
      </c>
      <c r="E157" s="1">
        <v>7</v>
      </c>
      <c r="F157" s="2">
        <v>0.25</v>
      </c>
      <c r="G157" s="2">
        <v>0.4</v>
      </c>
      <c r="H157" s="2">
        <v>0.6</v>
      </c>
    </row>
    <row r="158" spans="2:8" x14ac:dyDescent="0.45">
      <c r="B158" s="1" t="s">
        <v>474</v>
      </c>
      <c r="C158" s="1" t="s">
        <v>475</v>
      </c>
      <c r="D158" s="1" t="s">
        <v>476</v>
      </c>
      <c r="E158" s="1">
        <v>7</v>
      </c>
      <c r="F158" s="2">
        <v>0.2</v>
      </c>
      <c r="G158" s="2">
        <v>0.35</v>
      </c>
      <c r="H158" s="2">
        <v>0.5</v>
      </c>
    </row>
    <row r="159" spans="2:8" x14ac:dyDescent="0.45">
      <c r="B159" s="1" t="s">
        <v>477</v>
      </c>
      <c r="C159" s="1" t="s">
        <v>478</v>
      </c>
      <c r="D159" s="1" t="s">
        <v>479</v>
      </c>
      <c r="E159" s="1">
        <v>7</v>
      </c>
      <c r="F159" s="2">
        <v>0.2</v>
      </c>
      <c r="G159" s="2">
        <v>0.35</v>
      </c>
      <c r="H159" s="2">
        <v>0.5</v>
      </c>
    </row>
    <row r="160" spans="2:8" x14ac:dyDescent="0.45">
      <c r="B160" s="1" t="s">
        <v>480</v>
      </c>
      <c r="C160" s="1" t="s">
        <v>481</v>
      </c>
      <c r="D160" s="1" t="s">
        <v>482</v>
      </c>
      <c r="E160" s="1">
        <v>7</v>
      </c>
      <c r="F160" s="2">
        <v>0.2</v>
      </c>
      <c r="G160" s="2">
        <v>0.35</v>
      </c>
      <c r="H160" s="2">
        <v>0.5</v>
      </c>
    </row>
    <row r="161" spans="2:8" x14ac:dyDescent="0.45">
      <c r="B161" s="1" t="s">
        <v>483</v>
      </c>
      <c r="C161" s="1" t="s">
        <v>484</v>
      </c>
      <c r="D161" s="1" t="s">
        <v>485</v>
      </c>
      <c r="E161" s="1">
        <v>7</v>
      </c>
      <c r="F161" s="2">
        <v>0.15</v>
      </c>
      <c r="G161" s="2">
        <v>0.3</v>
      </c>
      <c r="H161" s="2">
        <v>0.4</v>
      </c>
    </row>
    <row r="162" spans="2:8" x14ac:dyDescent="0.45">
      <c r="B162" s="1" t="s">
        <v>486</v>
      </c>
      <c r="C162" s="1" t="s">
        <v>487</v>
      </c>
      <c r="D162" s="1" t="s">
        <v>488</v>
      </c>
      <c r="E162" s="1">
        <v>7</v>
      </c>
      <c r="F162" s="2">
        <v>0.05</v>
      </c>
      <c r="G162" s="2">
        <v>0.1</v>
      </c>
      <c r="H162" s="2">
        <v>0.2</v>
      </c>
    </row>
    <row r="163" spans="2:8" x14ac:dyDescent="0.45">
      <c r="B163" s="1" t="s">
        <v>489</v>
      </c>
      <c r="C163" s="1" t="s">
        <v>490</v>
      </c>
      <c r="D163" s="1" t="s">
        <v>491</v>
      </c>
      <c r="E163" s="1">
        <v>7</v>
      </c>
      <c r="F163" s="2">
        <v>0.2</v>
      </c>
      <c r="G163" s="2">
        <v>0.35</v>
      </c>
      <c r="H163" s="2">
        <v>0.5</v>
      </c>
    </row>
    <row r="164" spans="2:8" x14ac:dyDescent="0.45">
      <c r="B164" s="1" t="s">
        <v>492</v>
      </c>
      <c r="C164" s="1" t="s">
        <v>493</v>
      </c>
      <c r="D164" s="1" t="s">
        <v>494</v>
      </c>
      <c r="E164" s="1">
        <v>7</v>
      </c>
      <c r="F164" s="2">
        <v>0.2</v>
      </c>
      <c r="G164" s="2">
        <v>0.35</v>
      </c>
      <c r="H164" s="2">
        <v>0.5</v>
      </c>
    </row>
    <row r="165" spans="2:8" x14ac:dyDescent="0.45">
      <c r="B165" s="1" t="s">
        <v>495</v>
      </c>
      <c r="C165" s="1" t="s">
        <v>496</v>
      </c>
      <c r="D165" s="1" t="s">
        <v>497</v>
      </c>
      <c r="E165" s="1">
        <v>7</v>
      </c>
      <c r="F165" s="2">
        <v>0.15</v>
      </c>
      <c r="G165" s="2">
        <v>0.3</v>
      </c>
      <c r="H165" s="2">
        <v>0.4</v>
      </c>
    </row>
    <row r="166" spans="2:8" x14ac:dyDescent="0.45">
      <c r="B166" s="1" t="s">
        <v>498</v>
      </c>
      <c r="C166" s="1" t="s">
        <v>499</v>
      </c>
      <c r="D166" s="1" t="s">
        <v>500</v>
      </c>
      <c r="E166" s="1">
        <v>7</v>
      </c>
      <c r="F166" s="2">
        <v>0.15</v>
      </c>
      <c r="G166" s="2">
        <v>0.3</v>
      </c>
      <c r="H166" s="2">
        <v>0.4</v>
      </c>
    </row>
    <row r="167" spans="2:8" x14ac:dyDescent="0.45">
      <c r="B167" s="1" t="s">
        <v>501</v>
      </c>
      <c r="C167" s="1" t="s">
        <v>502</v>
      </c>
      <c r="D167" s="1" t="s">
        <v>503</v>
      </c>
      <c r="E167" s="1">
        <v>7</v>
      </c>
      <c r="F167" s="2">
        <v>0.1</v>
      </c>
      <c r="G167" s="2">
        <v>0.2</v>
      </c>
      <c r="H167" s="2">
        <v>0.3</v>
      </c>
    </row>
    <row r="168" spans="2:8" x14ac:dyDescent="0.45">
      <c r="B168" s="1" t="s">
        <v>504</v>
      </c>
      <c r="C168" s="1" t="s">
        <v>505</v>
      </c>
      <c r="D168" s="1" t="s">
        <v>506</v>
      </c>
      <c r="E168" s="1">
        <v>7</v>
      </c>
      <c r="F168" s="2">
        <v>0.3</v>
      </c>
      <c r="G168" s="2">
        <v>0.5</v>
      </c>
      <c r="H168" s="2">
        <v>0.7</v>
      </c>
    </row>
    <row r="169" spans="2:8" x14ac:dyDescent="0.45">
      <c r="B169" s="1" t="s">
        <v>507</v>
      </c>
      <c r="C169" s="1" t="s">
        <v>508</v>
      </c>
      <c r="D169" s="1" t="s">
        <v>509</v>
      </c>
      <c r="E169" s="1">
        <v>7</v>
      </c>
      <c r="F169" s="2">
        <v>0.05</v>
      </c>
      <c r="G169" s="2">
        <v>0.1</v>
      </c>
      <c r="H169" s="2">
        <v>0.2</v>
      </c>
    </row>
    <row r="170" spans="2:8" x14ac:dyDescent="0.45">
      <c r="B170" s="1" t="s">
        <v>510</v>
      </c>
      <c r="C170" s="1" t="s">
        <v>511</v>
      </c>
      <c r="D170" s="1" t="s">
        <v>512</v>
      </c>
      <c r="E170" s="1">
        <v>7</v>
      </c>
      <c r="F170" s="2">
        <v>0.15</v>
      </c>
      <c r="G170" s="2">
        <v>0.3</v>
      </c>
      <c r="H170" s="2">
        <v>0.4</v>
      </c>
    </row>
    <row r="171" spans="2:8" x14ac:dyDescent="0.45">
      <c r="B171" s="1" t="s">
        <v>513</v>
      </c>
      <c r="C171" s="1" t="s">
        <v>514</v>
      </c>
      <c r="D171" s="1" t="s">
        <v>515</v>
      </c>
      <c r="E171" s="1">
        <v>7</v>
      </c>
      <c r="F171" s="2">
        <v>0.25</v>
      </c>
      <c r="G171" s="2">
        <v>0.4</v>
      </c>
      <c r="H171" s="2">
        <v>0.6</v>
      </c>
    </row>
    <row r="172" spans="2:8" x14ac:dyDescent="0.45">
      <c r="B172" s="1" t="s">
        <v>516</v>
      </c>
      <c r="C172" s="1" t="s">
        <v>517</v>
      </c>
      <c r="D172" s="1" t="s">
        <v>518</v>
      </c>
      <c r="E172" s="1">
        <v>7</v>
      </c>
      <c r="F172" s="2">
        <v>0.05</v>
      </c>
      <c r="G172" s="2">
        <v>0.15</v>
      </c>
      <c r="H172" s="2">
        <v>0.25</v>
      </c>
    </row>
    <row r="173" spans="2:8" x14ac:dyDescent="0.45">
      <c r="B173" s="1" t="s">
        <v>519</v>
      </c>
      <c r="C173" s="1" t="s">
        <v>522</v>
      </c>
      <c r="D173" s="1" t="s">
        <v>520</v>
      </c>
      <c r="E173" s="1">
        <v>7</v>
      </c>
      <c r="F173" s="2">
        <v>0.2</v>
      </c>
      <c r="G173" s="2">
        <v>0.35</v>
      </c>
      <c r="H173" s="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3CF5-A651-4D1C-B024-4B870B590862}">
  <dimension ref="A1:AS174"/>
  <sheetViews>
    <sheetView topLeftCell="A122" zoomScaleNormal="100" workbookViewId="0">
      <pane xSplit="1" topLeftCell="B1" activePane="topRight" state="frozen"/>
      <selection pane="topRight" activeCell="AP3" sqref="AP3:AS174"/>
    </sheetView>
  </sheetViews>
  <sheetFormatPr defaultRowHeight="14.25" x14ac:dyDescent="0.45"/>
  <cols>
    <col min="2" max="2" width="28.9296875" bestFit="1" customWidth="1"/>
    <col min="3" max="4" width="10.33203125" customWidth="1"/>
    <col min="9" max="9" width="2.9296875" style="5" customWidth="1"/>
    <col min="14" max="14" width="3" style="5" customWidth="1"/>
    <col min="15" max="15" width="16.9296875" style="13" hidden="1" customWidth="1"/>
    <col min="16" max="16" width="17.53125" style="13" hidden="1" customWidth="1"/>
    <col min="17" max="17" width="3.53125" style="5" hidden="1" customWidth="1"/>
    <col min="18" max="18" width="10.33203125" customWidth="1"/>
    <col min="19" max="19" width="9.265625" bestFit="1" customWidth="1"/>
    <col min="22" max="22" width="3.06640625" style="5" customWidth="1"/>
    <col min="23" max="23" width="12.59765625" style="6" hidden="1" customWidth="1"/>
    <col min="24" max="24" width="8.59765625" style="6" hidden="1" customWidth="1"/>
    <col min="25" max="25" width="9.59765625" style="6" hidden="1" customWidth="1"/>
    <col min="26" max="26" width="3.19921875" style="7" hidden="1" customWidth="1"/>
    <col min="27" max="27" width="12.59765625" style="6" hidden="1" customWidth="1"/>
    <col min="28" max="28" width="8.59765625" style="6" hidden="1" customWidth="1"/>
    <col min="29" max="29" width="9.59765625" style="6" hidden="1" customWidth="1"/>
    <col min="30" max="30" width="2.53125" style="7" hidden="1" customWidth="1"/>
    <col min="31" max="31" width="8.73046875" style="6" hidden="1" customWidth="1"/>
    <col min="32" max="32" width="8.59765625" style="6" hidden="1" customWidth="1"/>
    <col min="33" max="33" width="9.59765625" style="6" hidden="1" customWidth="1"/>
    <col min="34" max="34" width="3.06640625" style="5" hidden="1" customWidth="1"/>
    <col min="35" max="35" width="12.59765625" style="6" customWidth="1"/>
    <col min="36" max="36" width="3.19921875" style="7" customWidth="1"/>
    <col min="37" max="37" width="12.59765625" style="6" customWidth="1"/>
    <col min="38" max="38" width="2.53125" style="7" customWidth="1"/>
    <col min="39" max="39" width="12.59765625" style="6" customWidth="1"/>
    <col min="40" max="40" width="2.59765625" style="5" customWidth="1"/>
    <col min="41" max="41" width="12.59765625" style="23" customWidth="1"/>
    <col min="42" max="42" width="12.59765625" style="22" customWidth="1"/>
    <col min="43" max="43" width="16.9296875" style="22" customWidth="1"/>
    <col min="44" max="44" width="12.59765625" customWidth="1"/>
    <col min="45" max="45" width="16.9296875" customWidth="1"/>
  </cols>
  <sheetData>
    <row r="1" spans="1:45" ht="45" customHeight="1" x14ac:dyDescent="0.45">
      <c r="A1" s="27" t="s">
        <v>30</v>
      </c>
      <c r="B1" s="27" t="s">
        <v>31</v>
      </c>
      <c r="C1" s="27" t="s">
        <v>533</v>
      </c>
      <c r="D1" s="27" t="s">
        <v>534</v>
      </c>
      <c r="E1" s="27" t="s">
        <v>528</v>
      </c>
      <c r="F1" s="27" t="s">
        <v>35</v>
      </c>
      <c r="G1" s="27" t="s">
        <v>34</v>
      </c>
      <c r="H1" s="27" t="s">
        <v>36</v>
      </c>
      <c r="I1" s="7"/>
      <c r="J1" s="34" t="s">
        <v>527</v>
      </c>
      <c r="K1" s="34"/>
      <c r="L1" s="34"/>
      <c r="M1" s="34"/>
      <c r="O1" s="35" t="s">
        <v>529</v>
      </c>
      <c r="P1" s="35" t="s">
        <v>530</v>
      </c>
      <c r="R1" s="27" t="s">
        <v>534</v>
      </c>
      <c r="S1" s="27" t="s">
        <v>535</v>
      </c>
      <c r="T1" s="27" t="s">
        <v>536</v>
      </c>
      <c r="U1" s="27" t="s">
        <v>537</v>
      </c>
      <c r="V1" s="16"/>
      <c r="W1" s="27" t="s">
        <v>531</v>
      </c>
      <c r="X1" s="27" t="s">
        <v>532</v>
      </c>
      <c r="Y1" s="27" t="s">
        <v>539</v>
      </c>
      <c r="Z1" s="18"/>
      <c r="AA1" s="27" t="s">
        <v>531</v>
      </c>
      <c r="AB1" s="27" t="s">
        <v>532</v>
      </c>
      <c r="AC1" s="27" t="s">
        <v>539</v>
      </c>
      <c r="AD1" s="18"/>
      <c r="AE1" s="27" t="s">
        <v>531</v>
      </c>
      <c r="AF1" s="27" t="s">
        <v>532</v>
      </c>
      <c r="AG1" s="27" t="s">
        <v>539</v>
      </c>
      <c r="AH1" s="16"/>
      <c r="AI1" s="27" t="s">
        <v>542</v>
      </c>
      <c r="AJ1" s="18"/>
      <c r="AK1" s="27" t="s">
        <v>543</v>
      </c>
      <c r="AL1" s="18"/>
      <c r="AM1" s="27" t="s">
        <v>544</v>
      </c>
      <c r="AO1" s="27" t="s">
        <v>545</v>
      </c>
      <c r="AP1" s="27" t="s">
        <v>546</v>
      </c>
      <c r="AQ1" s="27" t="s">
        <v>548</v>
      </c>
      <c r="AR1" s="27" t="s">
        <v>549</v>
      </c>
      <c r="AS1" s="27" t="s">
        <v>547</v>
      </c>
    </row>
    <row r="2" spans="1:45" ht="30.5" customHeight="1" x14ac:dyDescent="0.5">
      <c r="A2" s="27"/>
      <c r="B2" s="27"/>
      <c r="C2" s="27"/>
      <c r="D2" s="27"/>
      <c r="E2" s="27"/>
      <c r="F2" s="27"/>
      <c r="G2" s="27"/>
      <c r="H2" s="27"/>
      <c r="I2" s="7"/>
      <c r="J2" s="8" t="s">
        <v>523</v>
      </c>
      <c r="K2" s="9" t="s">
        <v>524</v>
      </c>
      <c r="L2" s="10" t="s">
        <v>525</v>
      </c>
      <c r="M2" s="8" t="s">
        <v>526</v>
      </c>
      <c r="O2" s="35"/>
      <c r="P2" s="35"/>
      <c r="R2" s="27"/>
      <c r="S2" s="27"/>
      <c r="T2" s="27"/>
      <c r="U2" s="27"/>
      <c r="V2" s="16"/>
      <c r="W2" s="27"/>
      <c r="X2" s="27"/>
      <c r="Y2" s="27"/>
      <c r="Z2" s="18"/>
      <c r="AA2" s="27"/>
      <c r="AB2" s="27"/>
      <c r="AC2" s="27"/>
      <c r="AD2" s="18"/>
      <c r="AE2" s="27"/>
      <c r="AF2" s="27"/>
      <c r="AG2" s="27"/>
      <c r="AH2" s="16"/>
      <c r="AI2" s="27"/>
      <c r="AJ2" s="18"/>
      <c r="AK2" s="27"/>
      <c r="AL2" s="18"/>
      <c r="AM2" s="27"/>
      <c r="AO2" s="27"/>
      <c r="AP2" s="27"/>
      <c r="AQ2" s="27"/>
      <c r="AR2" s="27"/>
      <c r="AS2" s="27"/>
    </row>
    <row r="3" spans="1:45" x14ac:dyDescent="0.45">
      <c r="A3" s="1" t="s">
        <v>0</v>
      </c>
      <c r="B3" s="1" t="s">
        <v>1</v>
      </c>
      <c r="C3" s="12">
        <v>255012</v>
      </c>
      <c r="D3" s="12">
        <f>SUM(J3:M3)</f>
        <v>257547.97</v>
      </c>
      <c r="E3" s="1">
        <v>5</v>
      </c>
      <c r="F3" s="2">
        <v>0.3</v>
      </c>
      <c r="G3" s="2">
        <v>0.5</v>
      </c>
      <c r="H3" s="2">
        <v>0.7</v>
      </c>
      <c r="J3" s="4"/>
      <c r="K3" s="4">
        <v>212650.9</v>
      </c>
      <c r="L3" s="4">
        <v>44897.07</v>
      </c>
      <c r="M3" s="4"/>
      <c r="O3" s="14">
        <f>J3+K3+L3+M3-C3</f>
        <v>2535.9700000000012</v>
      </c>
      <c r="P3" s="15">
        <f>((M3+L3+K3+J3)-C3)/C3</f>
        <v>9.9445124151020386E-3</v>
      </c>
      <c r="R3" s="12">
        <f>SUM(J3:M3)</f>
        <v>257547.97</v>
      </c>
      <c r="S3" s="12">
        <f>$D3*(F3)</f>
        <v>77264.391000000003</v>
      </c>
      <c r="T3" s="12">
        <f t="shared" ref="T3:U3" si="0">$D3*(G3)</f>
        <v>128773.985</v>
      </c>
      <c r="U3" s="12">
        <f t="shared" si="0"/>
        <v>180283.579</v>
      </c>
      <c r="V3" s="17"/>
      <c r="W3" s="6" t="str">
        <f t="shared" ref="W3" si="1">IF((J3+K3)&gt;S3,"Yes","No")</f>
        <v>Yes</v>
      </c>
      <c r="AA3" s="6" t="str">
        <f>IF((J3+K3)&gt;T3,"Yes","No")</f>
        <v>Yes</v>
      </c>
      <c r="AE3" s="6" t="str">
        <f>IF((J3+K3)&gt;U3,"Yes","No")</f>
        <v>Yes</v>
      </c>
      <c r="AH3" s="17"/>
      <c r="AI3" s="6" t="s">
        <v>540</v>
      </c>
      <c r="AK3" s="6" t="s">
        <v>540</v>
      </c>
      <c r="AM3" s="6" t="s">
        <v>540</v>
      </c>
    </row>
    <row r="4" spans="1:45" x14ac:dyDescent="0.45">
      <c r="A4" s="1" t="s">
        <v>79</v>
      </c>
      <c r="B4" s="1" t="s">
        <v>80</v>
      </c>
      <c r="C4" s="12">
        <v>15304</v>
      </c>
      <c r="D4" s="12">
        <f t="shared" ref="D4:D67" si="2">SUM(J4:M4)</f>
        <v>14303.34</v>
      </c>
      <c r="E4" s="1">
        <v>7</v>
      </c>
      <c r="F4" s="2">
        <v>0.1</v>
      </c>
      <c r="G4" s="2">
        <v>0.2</v>
      </c>
      <c r="H4" s="2">
        <v>0.3</v>
      </c>
      <c r="J4" s="4"/>
      <c r="K4" s="4"/>
      <c r="L4" s="4">
        <v>14303.34</v>
      </c>
      <c r="M4" s="4"/>
      <c r="O4" s="14">
        <f t="shared" ref="O4:O67" si="3">J4+K4+L4+M4-C4</f>
        <v>-1000.6599999999999</v>
      </c>
      <c r="P4" s="15">
        <f t="shared" ref="P4:P67" si="4">((M4+L4+K4+J4)-C4)/C4</f>
        <v>-6.5385520125457383E-2</v>
      </c>
      <c r="R4" s="12">
        <f t="shared" ref="R4:R67" si="5">SUM(J4:M4)</f>
        <v>14303.34</v>
      </c>
      <c r="S4" s="12">
        <f t="shared" ref="S4:S67" si="6">$D4*(F4)</f>
        <v>1430.3340000000001</v>
      </c>
      <c r="T4" s="12">
        <f t="shared" ref="T4:T67" si="7">$D4*(G4)</f>
        <v>2860.6680000000001</v>
      </c>
      <c r="U4" s="12">
        <f t="shared" ref="U4:U67" si="8">$D4*(H4)</f>
        <v>4291.0019999999995</v>
      </c>
      <c r="V4" s="17"/>
      <c r="W4" s="6" t="str">
        <f t="shared" ref="W4:W67" si="9">IF((J4+K4)&gt;S4,"Yes","No")</f>
        <v>No</v>
      </c>
      <c r="X4" s="6" t="str">
        <f t="shared" ref="X4:X67" si="10">IF((L4)&gt;S4,"Yes","No")</f>
        <v>Yes</v>
      </c>
      <c r="AA4" s="6" t="str">
        <f t="shared" ref="AA4:AA67" si="11">IF((J4+K4)&gt;T4,"Yes","No")</f>
        <v>No</v>
      </c>
      <c r="AB4" s="6" t="str">
        <f t="shared" ref="AB4:AB67" si="12">IF((L4)&gt;T4,"Yes","No")</f>
        <v>Yes</v>
      </c>
      <c r="AE4" s="6" t="str">
        <f t="shared" ref="AE4:AE67" si="13">IF((J4+K4)&gt;U4,"Yes","No")</f>
        <v>No</v>
      </c>
      <c r="AF4" s="6" t="str">
        <f t="shared" ref="AF4:AF67" si="14">IF((L4)&gt;U4,"Yes","No")</f>
        <v>Yes</v>
      </c>
      <c r="AH4" s="17"/>
      <c r="AI4" s="6" t="s">
        <v>525</v>
      </c>
      <c r="AK4" s="6" t="s">
        <v>525</v>
      </c>
      <c r="AM4" s="6" t="s">
        <v>525</v>
      </c>
    </row>
    <row r="5" spans="1:45" x14ac:dyDescent="0.45">
      <c r="A5" s="1" t="s">
        <v>82</v>
      </c>
      <c r="B5" s="1" t="s">
        <v>83</v>
      </c>
      <c r="C5" s="12">
        <v>144229</v>
      </c>
      <c r="D5" s="12">
        <f t="shared" si="2"/>
        <v>137707.5</v>
      </c>
      <c r="E5" s="1">
        <v>7</v>
      </c>
      <c r="F5" s="2">
        <v>0.05</v>
      </c>
      <c r="G5" s="2">
        <v>0.1</v>
      </c>
      <c r="H5" s="2">
        <v>0.2</v>
      </c>
      <c r="J5" s="4"/>
      <c r="K5" s="4"/>
      <c r="L5" s="4">
        <v>137707.5</v>
      </c>
      <c r="M5" s="4"/>
      <c r="O5" s="14">
        <f t="shared" si="3"/>
        <v>-6521.5</v>
      </c>
      <c r="P5" s="15">
        <f t="shared" si="4"/>
        <v>-4.5216287986465965E-2</v>
      </c>
      <c r="R5" s="12">
        <f t="shared" si="5"/>
        <v>137707.5</v>
      </c>
      <c r="S5" s="12">
        <f t="shared" si="6"/>
        <v>6885.375</v>
      </c>
      <c r="T5" s="12">
        <f t="shared" si="7"/>
        <v>13770.75</v>
      </c>
      <c r="U5" s="12">
        <f t="shared" si="8"/>
        <v>27541.5</v>
      </c>
      <c r="V5" s="17"/>
      <c r="W5" s="6" t="str">
        <f t="shared" si="9"/>
        <v>No</v>
      </c>
      <c r="X5" s="6" t="str">
        <f t="shared" si="10"/>
        <v>Yes</v>
      </c>
      <c r="AA5" s="6" t="str">
        <f t="shared" si="11"/>
        <v>No</v>
      </c>
      <c r="AB5" s="6" t="str">
        <f t="shared" si="12"/>
        <v>Yes</v>
      </c>
      <c r="AE5" s="6" t="str">
        <f t="shared" si="13"/>
        <v>No</v>
      </c>
      <c r="AF5" s="6" t="str">
        <f t="shared" si="14"/>
        <v>Yes</v>
      </c>
      <c r="AH5" s="17"/>
      <c r="AI5" s="6" t="s">
        <v>525</v>
      </c>
      <c r="AK5" s="6" t="s">
        <v>525</v>
      </c>
      <c r="AM5" s="6" t="s">
        <v>525</v>
      </c>
    </row>
    <row r="6" spans="1:45" x14ac:dyDescent="0.45">
      <c r="A6" s="1" t="s">
        <v>85</v>
      </c>
      <c r="B6" s="1" t="s">
        <v>86</v>
      </c>
      <c r="C6" s="12">
        <v>77974</v>
      </c>
      <c r="D6" s="12">
        <f t="shared" si="2"/>
        <v>74334.09</v>
      </c>
      <c r="E6" s="1">
        <v>7</v>
      </c>
      <c r="F6" s="2">
        <v>0.1</v>
      </c>
      <c r="G6" s="2">
        <v>0.2</v>
      </c>
      <c r="H6" s="2">
        <v>0.3</v>
      </c>
      <c r="J6" s="4"/>
      <c r="K6" s="4"/>
      <c r="L6" s="4">
        <v>74334.09</v>
      </c>
      <c r="M6" s="4"/>
      <c r="O6" s="14">
        <f t="shared" si="3"/>
        <v>-3639.9100000000035</v>
      </c>
      <c r="P6" s="15">
        <f t="shared" si="4"/>
        <v>-4.6681073178238948E-2</v>
      </c>
      <c r="R6" s="12">
        <f t="shared" si="5"/>
        <v>74334.09</v>
      </c>
      <c r="S6" s="12">
        <f t="shared" si="6"/>
        <v>7433.4089999999997</v>
      </c>
      <c r="T6" s="12">
        <f t="shared" si="7"/>
        <v>14866.817999999999</v>
      </c>
      <c r="U6" s="12">
        <f t="shared" si="8"/>
        <v>22300.226999999999</v>
      </c>
      <c r="V6" s="17"/>
      <c r="W6" s="6" t="str">
        <f t="shared" si="9"/>
        <v>No</v>
      </c>
      <c r="X6" s="6" t="str">
        <f t="shared" si="10"/>
        <v>Yes</v>
      </c>
      <c r="AA6" s="6" t="str">
        <f t="shared" si="11"/>
        <v>No</v>
      </c>
      <c r="AB6" s="6" t="str">
        <f t="shared" si="12"/>
        <v>Yes</v>
      </c>
      <c r="AE6" s="6" t="str">
        <f t="shared" si="13"/>
        <v>No</v>
      </c>
      <c r="AF6" s="6" t="str">
        <f t="shared" si="14"/>
        <v>Yes</v>
      </c>
      <c r="AH6" s="17"/>
      <c r="AI6" s="6" t="s">
        <v>525</v>
      </c>
      <c r="AK6" s="6" t="s">
        <v>525</v>
      </c>
      <c r="AM6" s="6" t="s">
        <v>525</v>
      </c>
    </row>
    <row r="7" spans="1:45" x14ac:dyDescent="0.45">
      <c r="A7" s="1" t="s">
        <v>88</v>
      </c>
      <c r="B7" s="1" t="s">
        <v>89</v>
      </c>
      <c r="C7" s="12">
        <v>27656</v>
      </c>
      <c r="D7" s="12">
        <f t="shared" si="2"/>
        <v>26864.59</v>
      </c>
      <c r="E7" s="1">
        <v>7</v>
      </c>
      <c r="F7" s="2">
        <v>0.1</v>
      </c>
      <c r="G7" s="2">
        <v>0.2</v>
      </c>
      <c r="H7" s="2">
        <v>0.3</v>
      </c>
      <c r="J7" s="4"/>
      <c r="K7" s="4"/>
      <c r="L7" s="4"/>
      <c r="M7" s="4">
        <v>26864.59</v>
      </c>
      <c r="O7" s="14">
        <f t="shared" si="3"/>
        <v>-791.40999999999985</v>
      </c>
      <c r="P7" s="15">
        <f t="shared" si="4"/>
        <v>-2.8616213479895857E-2</v>
      </c>
      <c r="R7" s="12">
        <f t="shared" si="5"/>
        <v>26864.59</v>
      </c>
      <c r="S7" s="12">
        <f t="shared" si="6"/>
        <v>2686.4590000000003</v>
      </c>
      <c r="T7" s="12">
        <f t="shared" si="7"/>
        <v>5372.9180000000006</v>
      </c>
      <c r="U7" s="12">
        <f t="shared" si="8"/>
        <v>8059.3769999999995</v>
      </c>
      <c r="V7" s="17"/>
      <c r="W7" s="6" t="str">
        <f t="shared" si="9"/>
        <v>No</v>
      </c>
      <c r="X7" s="6" t="str">
        <f t="shared" si="10"/>
        <v>No</v>
      </c>
      <c r="Y7" s="6" t="s">
        <v>538</v>
      </c>
      <c r="AA7" s="6" t="str">
        <f t="shared" si="11"/>
        <v>No</v>
      </c>
      <c r="AB7" s="6" t="str">
        <f t="shared" si="12"/>
        <v>No</v>
      </c>
      <c r="AC7" s="6" t="str">
        <f t="shared" ref="AC7" si="15">IF((M7)&gt;U7,"Yes","No")</f>
        <v>Yes</v>
      </c>
      <c r="AE7" s="6" t="str">
        <f t="shared" si="13"/>
        <v>No</v>
      </c>
      <c r="AF7" s="6" t="str">
        <f t="shared" si="14"/>
        <v>No</v>
      </c>
      <c r="AG7" s="6" t="str">
        <f t="shared" ref="AG7:AG44" si="16">IF((M7)&gt;U7,"Yes","No")</f>
        <v>Yes</v>
      </c>
      <c r="AH7" s="17"/>
      <c r="AI7" s="6" t="s">
        <v>526</v>
      </c>
      <c r="AK7" s="6" t="s">
        <v>526</v>
      </c>
      <c r="AM7" s="6" t="s">
        <v>526</v>
      </c>
    </row>
    <row r="8" spans="1:45" x14ac:dyDescent="0.45">
      <c r="A8" s="1" t="s">
        <v>91</v>
      </c>
      <c r="B8" s="1" t="s">
        <v>92</v>
      </c>
      <c r="C8" s="12">
        <v>95350</v>
      </c>
      <c r="D8" s="12">
        <f t="shared" si="2"/>
        <v>104131.95999999999</v>
      </c>
      <c r="E8" s="1">
        <v>7</v>
      </c>
      <c r="F8" s="2">
        <v>0.25</v>
      </c>
      <c r="G8" s="2">
        <v>0.4</v>
      </c>
      <c r="H8" s="2">
        <v>0.6</v>
      </c>
      <c r="J8" s="4"/>
      <c r="K8" s="4">
        <v>64089.919999999998</v>
      </c>
      <c r="L8" s="4">
        <v>40042.04</v>
      </c>
      <c r="M8" s="4"/>
      <c r="O8" s="14">
        <f t="shared" si="3"/>
        <v>8781.9599999999919</v>
      </c>
      <c r="P8" s="15">
        <f t="shared" si="4"/>
        <v>9.210235972732031E-2</v>
      </c>
      <c r="R8" s="12">
        <f t="shared" si="5"/>
        <v>104131.95999999999</v>
      </c>
      <c r="S8" s="12">
        <f t="shared" si="6"/>
        <v>26032.989999999998</v>
      </c>
      <c r="T8" s="12">
        <f t="shared" si="7"/>
        <v>41652.784</v>
      </c>
      <c r="U8" s="12">
        <f t="shared" si="8"/>
        <v>62479.175999999992</v>
      </c>
      <c r="V8" s="17"/>
      <c r="W8" s="6" t="str">
        <f t="shared" si="9"/>
        <v>Yes</v>
      </c>
      <c r="AA8" s="6" t="str">
        <f t="shared" si="11"/>
        <v>Yes</v>
      </c>
      <c r="AE8" s="6" t="str">
        <f t="shared" si="13"/>
        <v>Yes</v>
      </c>
      <c r="AH8" s="17"/>
      <c r="AI8" s="6" t="s">
        <v>540</v>
      </c>
      <c r="AK8" s="6" t="s">
        <v>540</v>
      </c>
      <c r="AM8" s="6" t="s">
        <v>540</v>
      </c>
    </row>
    <row r="9" spans="1:45" x14ac:dyDescent="0.45">
      <c r="A9" s="1" t="s">
        <v>94</v>
      </c>
      <c r="B9" s="1" t="s">
        <v>95</v>
      </c>
      <c r="C9" s="12">
        <v>47557</v>
      </c>
      <c r="D9" s="12">
        <f t="shared" si="2"/>
        <v>50199.03</v>
      </c>
      <c r="E9" s="1">
        <v>7</v>
      </c>
      <c r="F9" s="2">
        <v>0.15</v>
      </c>
      <c r="G9" s="2">
        <v>0.3</v>
      </c>
      <c r="H9" s="2">
        <v>0.4</v>
      </c>
      <c r="J9" s="4"/>
      <c r="K9" s="4"/>
      <c r="L9" s="4">
        <v>50199.03</v>
      </c>
      <c r="M9" s="4"/>
      <c r="O9" s="14">
        <f t="shared" si="3"/>
        <v>2642.0299999999988</v>
      </c>
      <c r="P9" s="15">
        <f t="shared" si="4"/>
        <v>5.5555018188699852E-2</v>
      </c>
      <c r="R9" s="12">
        <f t="shared" si="5"/>
        <v>50199.03</v>
      </c>
      <c r="S9" s="12">
        <f t="shared" si="6"/>
        <v>7529.8544999999995</v>
      </c>
      <c r="T9" s="12">
        <f t="shared" si="7"/>
        <v>15059.708999999999</v>
      </c>
      <c r="U9" s="12">
        <f t="shared" si="8"/>
        <v>20079.612000000001</v>
      </c>
      <c r="V9" s="17"/>
      <c r="W9" s="6" t="str">
        <f t="shared" si="9"/>
        <v>No</v>
      </c>
      <c r="X9" s="6" t="str">
        <f t="shared" si="10"/>
        <v>Yes</v>
      </c>
      <c r="AA9" s="6" t="str">
        <f t="shared" si="11"/>
        <v>No</v>
      </c>
      <c r="AB9" s="6" t="str">
        <f t="shared" si="12"/>
        <v>Yes</v>
      </c>
      <c r="AE9" s="6" t="str">
        <f t="shared" si="13"/>
        <v>No</v>
      </c>
      <c r="AF9" s="6" t="str">
        <f t="shared" si="14"/>
        <v>Yes</v>
      </c>
      <c r="AH9" s="17"/>
      <c r="AI9" s="6" t="s">
        <v>525</v>
      </c>
      <c r="AK9" s="6" t="s">
        <v>525</v>
      </c>
      <c r="AM9" s="6" t="s">
        <v>525</v>
      </c>
    </row>
    <row r="10" spans="1:45" x14ac:dyDescent="0.45">
      <c r="A10" s="1" t="s">
        <v>97</v>
      </c>
      <c r="B10" s="1" t="s">
        <v>98</v>
      </c>
      <c r="C10" s="12">
        <v>55609</v>
      </c>
      <c r="D10" s="12">
        <f t="shared" si="2"/>
        <v>55558.51</v>
      </c>
      <c r="E10" s="1">
        <v>7</v>
      </c>
      <c r="F10" s="2">
        <v>0.2</v>
      </c>
      <c r="G10" s="2">
        <v>0.35</v>
      </c>
      <c r="H10" s="2">
        <v>0.5</v>
      </c>
      <c r="J10" s="4"/>
      <c r="K10" s="4"/>
      <c r="L10" s="4">
        <v>55558.51</v>
      </c>
      <c r="M10" s="4"/>
      <c r="O10" s="14">
        <f t="shared" si="3"/>
        <v>-50.489999999997963</v>
      </c>
      <c r="P10" s="15">
        <f t="shared" si="4"/>
        <v>-9.0794655541365536E-4</v>
      </c>
      <c r="R10" s="12">
        <f t="shared" si="5"/>
        <v>55558.51</v>
      </c>
      <c r="S10" s="12">
        <f t="shared" si="6"/>
        <v>11111.702000000001</v>
      </c>
      <c r="T10" s="12">
        <f t="shared" si="7"/>
        <v>19445.478500000001</v>
      </c>
      <c r="U10" s="12">
        <f t="shared" si="8"/>
        <v>27779.255000000001</v>
      </c>
      <c r="V10" s="17"/>
      <c r="W10" s="6" t="str">
        <f t="shared" si="9"/>
        <v>No</v>
      </c>
      <c r="X10" s="6" t="str">
        <f t="shared" si="10"/>
        <v>Yes</v>
      </c>
      <c r="AA10" s="6" t="str">
        <f t="shared" si="11"/>
        <v>No</v>
      </c>
      <c r="AB10" s="6" t="str">
        <f t="shared" si="12"/>
        <v>Yes</v>
      </c>
      <c r="AE10" s="6" t="str">
        <f t="shared" si="13"/>
        <v>No</v>
      </c>
      <c r="AF10" s="6" t="str">
        <f t="shared" si="14"/>
        <v>Yes</v>
      </c>
      <c r="AH10" s="17"/>
      <c r="AI10" s="6" t="s">
        <v>525</v>
      </c>
      <c r="AK10" s="6" t="s">
        <v>525</v>
      </c>
      <c r="AM10" s="6" t="s">
        <v>525</v>
      </c>
    </row>
    <row r="11" spans="1:45" x14ac:dyDescent="0.45">
      <c r="A11" s="1" t="s">
        <v>100</v>
      </c>
      <c r="B11" s="1" t="s">
        <v>101</v>
      </c>
      <c r="C11" s="12">
        <v>139289</v>
      </c>
      <c r="D11" s="12">
        <f t="shared" si="2"/>
        <v>143860.30000000002</v>
      </c>
      <c r="E11" s="1">
        <v>7</v>
      </c>
      <c r="F11" s="2">
        <v>0.2</v>
      </c>
      <c r="G11" s="2">
        <v>0.35</v>
      </c>
      <c r="H11" s="2">
        <v>0.5</v>
      </c>
      <c r="J11" s="4"/>
      <c r="K11" s="4"/>
      <c r="L11" s="4">
        <v>143860.30000000002</v>
      </c>
      <c r="M11" s="4"/>
      <c r="O11" s="14">
        <f t="shared" si="3"/>
        <v>4571.3000000000175</v>
      </c>
      <c r="P11" s="15">
        <f t="shared" si="4"/>
        <v>3.2818815556145978E-2</v>
      </c>
      <c r="R11" s="12">
        <f t="shared" si="5"/>
        <v>143860.30000000002</v>
      </c>
      <c r="S11" s="12">
        <f t="shared" si="6"/>
        <v>28772.060000000005</v>
      </c>
      <c r="T11" s="12">
        <f t="shared" si="7"/>
        <v>50351.105000000003</v>
      </c>
      <c r="U11" s="12">
        <f t="shared" si="8"/>
        <v>71930.150000000009</v>
      </c>
      <c r="V11" s="17"/>
      <c r="W11" s="6" t="str">
        <f t="shared" si="9"/>
        <v>No</v>
      </c>
      <c r="X11" s="6" t="str">
        <f t="shared" si="10"/>
        <v>Yes</v>
      </c>
      <c r="AA11" s="6" t="str">
        <f t="shared" si="11"/>
        <v>No</v>
      </c>
      <c r="AB11" s="6" t="str">
        <f t="shared" si="12"/>
        <v>Yes</v>
      </c>
      <c r="AE11" s="6" t="str">
        <f t="shared" si="13"/>
        <v>No</v>
      </c>
      <c r="AF11" s="6" t="str">
        <f t="shared" si="14"/>
        <v>Yes</v>
      </c>
      <c r="AH11" s="17"/>
      <c r="AI11" s="6" t="s">
        <v>525</v>
      </c>
      <c r="AK11" s="6" t="s">
        <v>525</v>
      </c>
      <c r="AM11" s="6" t="s">
        <v>525</v>
      </c>
    </row>
    <row r="12" spans="1:45" x14ac:dyDescent="0.45">
      <c r="A12" s="1" t="s">
        <v>3</v>
      </c>
      <c r="B12" s="1" t="s">
        <v>4</v>
      </c>
      <c r="C12" s="12">
        <v>435820</v>
      </c>
      <c r="D12" s="12">
        <f t="shared" si="2"/>
        <v>474931.83999999997</v>
      </c>
      <c r="E12" s="1">
        <v>5</v>
      </c>
      <c r="F12" s="2">
        <v>0.3</v>
      </c>
      <c r="G12" s="2">
        <v>0.5</v>
      </c>
      <c r="H12" s="2">
        <v>0.7</v>
      </c>
      <c r="J12" s="4"/>
      <c r="K12" s="4">
        <v>389899.74</v>
      </c>
      <c r="L12" s="4">
        <v>85032.1</v>
      </c>
      <c r="M12" s="4"/>
      <c r="O12" s="14">
        <f t="shared" si="3"/>
        <v>39111.839999999967</v>
      </c>
      <c r="P12" s="15">
        <f t="shared" si="4"/>
        <v>8.974310495158544E-2</v>
      </c>
      <c r="R12" s="12">
        <f t="shared" si="5"/>
        <v>474931.83999999997</v>
      </c>
      <c r="S12" s="12">
        <f t="shared" si="6"/>
        <v>142479.552</v>
      </c>
      <c r="T12" s="12">
        <f t="shared" si="7"/>
        <v>237465.91999999998</v>
      </c>
      <c r="U12" s="12">
        <f t="shared" si="8"/>
        <v>332452.28799999994</v>
      </c>
      <c r="V12" s="17"/>
      <c r="W12" s="6" t="str">
        <f t="shared" si="9"/>
        <v>Yes</v>
      </c>
      <c r="AA12" s="6" t="str">
        <f t="shared" si="11"/>
        <v>Yes</v>
      </c>
      <c r="AE12" s="6" t="str">
        <f t="shared" si="13"/>
        <v>Yes</v>
      </c>
      <c r="AH12" s="17"/>
      <c r="AI12" s="6" t="s">
        <v>540</v>
      </c>
      <c r="AK12" s="6" t="s">
        <v>540</v>
      </c>
      <c r="AM12" s="6" t="s">
        <v>540</v>
      </c>
    </row>
    <row r="13" spans="1:45" x14ac:dyDescent="0.45">
      <c r="A13" s="1" t="s">
        <v>103</v>
      </c>
      <c r="B13" s="1" t="s">
        <v>104</v>
      </c>
      <c r="C13" s="12">
        <v>56649</v>
      </c>
      <c r="D13" s="12">
        <f t="shared" si="2"/>
        <v>57465.43</v>
      </c>
      <c r="E13" s="1">
        <v>7</v>
      </c>
      <c r="F13" s="2">
        <v>0.15</v>
      </c>
      <c r="G13" s="2">
        <v>0.3</v>
      </c>
      <c r="H13" s="2">
        <v>0.4</v>
      </c>
      <c r="J13" s="4"/>
      <c r="K13" s="4"/>
      <c r="L13" s="4">
        <v>57465.43</v>
      </c>
      <c r="M13" s="4"/>
      <c r="O13" s="14">
        <f t="shared" si="3"/>
        <v>816.43000000000029</v>
      </c>
      <c r="P13" s="15">
        <f t="shared" si="4"/>
        <v>1.4412081413617191E-2</v>
      </c>
      <c r="R13" s="12">
        <f t="shared" si="5"/>
        <v>57465.43</v>
      </c>
      <c r="S13" s="12">
        <f t="shared" si="6"/>
        <v>8619.8145000000004</v>
      </c>
      <c r="T13" s="12">
        <f t="shared" si="7"/>
        <v>17239.629000000001</v>
      </c>
      <c r="U13" s="12">
        <f t="shared" si="8"/>
        <v>22986.172000000002</v>
      </c>
      <c r="V13" s="17"/>
      <c r="W13" s="6" t="str">
        <f t="shared" si="9"/>
        <v>No</v>
      </c>
      <c r="X13" s="6" t="str">
        <f t="shared" si="10"/>
        <v>Yes</v>
      </c>
      <c r="AA13" s="6" t="str">
        <f t="shared" si="11"/>
        <v>No</v>
      </c>
      <c r="AB13" s="6" t="str">
        <f t="shared" si="12"/>
        <v>Yes</v>
      </c>
      <c r="AE13" s="6" t="str">
        <f t="shared" si="13"/>
        <v>No</v>
      </c>
      <c r="AF13" s="6" t="str">
        <f t="shared" si="14"/>
        <v>Yes</v>
      </c>
      <c r="AH13" s="17"/>
      <c r="AI13" s="6" t="s">
        <v>525</v>
      </c>
      <c r="AK13" s="6" t="s">
        <v>525</v>
      </c>
      <c r="AM13" s="6" t="s">
        <v>525</v>
      </c>
    </row>
    <row r="14" spans="1:45" x14ac:dyDescent="0.45">
      <c r="A14" s="1" t="s">
        <v>106</v>
      </c>
      <c r="B14" s="1" t="s">
        <v>107</v>
      </c>
      <c r="C14" s="12">
        <v>33373</v>
      </c>
      <c r="D14" s="12">
        <f t="shared" si="2"/>
        <v>34197.589999999997</v>
      </c>
      <c r="E14" s="1">
        <v>7</v>
      </c>
      <c r="F14" s="2">
        <v>0.1</v>
      </c>
      <c r="G14" s="2">
        <v>0.2</v>
      </c>
      <c r="H14" s="2">
        <v>0.3</v>
      </c>
      <c r="J14" s="4"/>
      <c r="K14" s="4"/>
      <c r="L14" s="4">
        <v>34197.589999999997</v>
      </c>
      <c r="M14" s="4"/>
      <c r="O14" s="14">
        <f t="shared" si="3"/>
        <v>824.58999999999651</v>
      </c>
      <c r="P14" s="15">
        <f t="shared" si="4"/>
        <v>2.4708297126419455E-2</v>
      </c>
      <c r="R14" s="12">
        <f t="shared" si="5"/>
        <v>34197.589999999997</v>
      </c>
      <c r="S14" s="12">
        <f t="shared" si="6"/>
        <v>3419.759</v>
      </c>
      <c r="T14" s="12">
        <f t="shared" si="7"/>
        <v>6839.518</v>
      </c>
      <c r="U14" s="12">
        <f t="shared" si="8"/>
        <v>10259.276999999998</v>
      </c>
      <c r="V14" s="17"/>
      <c r="W14" s="6" t="str">
        <f t="shared" si="9"/>
        <v>No</v>
      </c>
      <c r="X14" s="6" t="str">
        <f t="shared" si="10"/>
        <v>Yes</v>
      </c>
      <c r="AA14" s="6" t="str">
        <f t="shared" si="11"/>
        <v>No</v>
      </c>
      <c r="AB14" s="6" t="str">
        <f t="shared" si="12"/>
        <v>Yes</v>
      </c>
      <c r="AE14" s="6" t="str">
        <f t="shared" si="13"/>
        <v>No</v>
      </c>
      <c r="AF14" s="6" t="str">
        <f t="shared" si="14"/>
        <v>Yes</v>
      </c>
      <c r="AH14" s="17"/>
      <c r="AI14" s="6" t="s">
        <v>525</v>
      </c>
      <c r="AK14" s="6" t="s">
        <v>525</v>
      </c>
      <c r="AM14" s="6" t="s">
        <v>525</v>
      </c>
    </row>
    <row r="15" spans="1:45" x14ac:dyDescent="0.45">
      <c r="A15" s="1" t="s">
        <v>109</v>
      </c>
      <c r="B15" s="1" t="s">
        <v>110</v>
      </c>
      <c r="C15" s="12">
        <v>71445</v>
      </c>
      <c r="D15" s="12">
        <f t="shared" si="2"/>
        <v>71983.16</v>
      </c>
      <c r="E15" s="1">
        <v>7</v>
      </c>
      <c r="F15" s="2">
        <v>0.15</v>
      </c>
      <c r="G15" s="2">
        <v>0.3</v>
      </c>
      <c r="H15" s="2">
        <v>0.4</v>
      </c>
      <c r="J15" s="4"/>
      <c r="K15" s="4"/>
      <c r="L15" s="4">
        <v>71983.16</v>
      </c>
      <c r="M15" s="4"/>
      <c r="O15" s="14">
        <f t="shared" si="3"/>
        <v>538.16000000000349</v>
      </c>
      <c r="P15" s="15">
        <f t="shared" si="4"/>
        <v>7.5325075232696966E-3</v>
      </c>
      <c r="R15" s="12">
        <f t="shared" si="5"/>
        <v>71983.16</v>
      </c>
      <c r="S15" s="12">
        <f t="shared" si="6"/>
        <v>10797.474</v>
      </c>
      <c r="T15" s="12">
        <f t="shared" si="7"/>
        <v>21594.948</v>
      </c>
      <c r="U15" s="12">
        <f t="shared" si="8"/>
        <v>28793.264000000003</v>
      </c>
      <c r="V15" s="17"/>
      <c r="W15" s="6" t="str">
        <f t="shared" si="9"/>
        <v>No</v>
      </c>
      <c r="X15" s="6" t="str">
        <f t="shared" si="10"/>
        <v>Yes</v>
      </c>
      <c r="AA15" s="6" t="str">
        <f t="shared" si="11"/>
        <v>No</v>
      </c>
      <c r="AB15" s="6" t="str">
        <f t="shared" si="12"/>
        <v>Yes</v>
      </c>
      <c r="AE15" s="6" t="str">
        <f t="shared" si="13"/>
        <v>No</v>
      </c>
      <c r="AF15" s="6" t="str">
        <f t="shared" si="14"/>
        <v>Yes</v>
      </c>
      <c r="AH15" s="17"/>
      <c r="AI15" s="6" t="s">
        <v>525</v>
      </c>
      <c r="AK15" s="6" t="s">
        <v>525</v>
      </c>
      <c r="AM15" s="6" t="s">
        <v>525</v>
      </c>
    </row>
    <row r="16" spans="1:45" x14ac:dyDescent="0.45">
      <c r="A16" s="1" t="s">
        <v>112</v>
      </c>
      <c r="B16" s="1" t="s">
        <v>113</v>
      </c>
      <c r="C16" s="12">
        <v>131379</v>
      </c>
      <c r="D16" s="12">
        <f t="shared" si="2"/>
        <v>131343.37</v>
      </c>
      <c r="E16" s="1">
        <v>7</v>
      </c>
      <c r="F16" s="2">
        <v>0.3</v>
      </c>
      <c r="G16" s="2">
        <v>0.5</v>
      </c>
      <c r="H16" s="2">
        <v>0.7</v>
      </c>
      <c r="J16" s="4"/>
      <c r="K16" s="4"/>
      <c r="L16" s="4">
        <v>131343.37</v>
      </c>
      <c r="M16" s="4"/>
      <c r="O16" s="14">
        <f t="shared" si="3"/>
        <v>-35.630000000004657</v>
      </c>
      <c r="P16" s="15">
        <f t="shared" si="4"/>
        <v>-2.7120011569584682E-4</v>
      </c>
      <c r="R16" s="12">
        <f t="shared" si="5"/>
        <v>131343.37</v>
      </c>
      <c r="S16" s="12">
        <f t="shared" si="6"/>
        <v>39403.010999999999</v>
      </c>
      <c r="T16" s="12">
        <f t="shared" si="7"/>
        <v>65671.684999999998</v>
      </c>
      <c r="U16" s="12">
        <f t="shared" si="8"/>
        <v>91940.358999999997</v>
      </c>
      <c r="V16" s="17"/>
      <c r="W16" s="6" t="str">
        <f t="shared" si="9"/>
        <v>No</v>
      </c>
      <c r="X16" s="6" t="str">
        <f t="shared" si="10"/>
        <v>Yes</v>
      </c>
      <c r="AA16" s="6" t="str">
        <f t="shared" si="11"/>
        <v>No</v>
      </c>
      <c r="AB16" s="6" t="str">
        <f t="shared" si="12"/>
        <v>Yes</v>
      </c>
      <c r="AE16" s="6" t="str">
        <f t="shared" si="13"/>
        <v>No</v>
      </c>
      <c r="AF16" s="6" t="str">
        <f t="shared" si="14"/>
        <v>Yes</v>
      </c>
      <c r="AH16" s="17"/>
      <c r="AI16" s="6" t="s">
        <v>525</v>
      </c>
      <c r="AK16" s="6" t="s">
        <v>525</v>
      </c>
      <c r="AM16" s="6" t="s">
        <v>525</v>
      </c>
    </row>
    <row r="17" spans="1:45" x14ac:dyDescent="0.45">
      <c r="A17" s="1" t="s">
        <v>115</v>
      </c>
      <c r="B17" s="1" t="s">
        <v>116</v>
      </c>
      <c r="C17" s="12">
        <v>142898</v>
      </c>
      <c r="D17" s="12">
        <f t="shared" si="2"/>
        <v>147694.56</v>
      </c>
      <c r="E17" s="1">
        <v>7</v>
      </c>
      <c r="F17" s="2">
        <v>0.3</v>
      </c>
      <c r="G17" s="2">
        <v>0.5</v>
      </c>
      <c r="H17" s="2">
        <v>0.7</v>
      </c>
      <c r="J17" s="4"/>
      <c r="K17" s="4">
        <v>103766.22</v>
      </c>
      <c r="L17" s="4">
        <v>43928.34</v>
      </c>
      <c r="M17" s="4"/>
      <c r="O17" s="14">
        <f t="shared" si="3"/>
        <v>4796.5599999999977</v>
      </c>
      <c r="P17" s="15">
        <f t="shared" si="4"/>
        <v>3.3566320032470696E-2</v>
      </c>
      <c r="R17" s="12">
        <f t="shared" si="5"/>
        <v>147694.56</v>
      </c>
      <c r="S17" s="12">
        <f t="shared" si="6"/>
        <v>44308.367999999995</v>
      </c>
      <c r="T17" s="12">
        <f t="shared" si="7"/>
        <v>73847.28</v>
      </c>
      <c r="U17" s="12">
        <f t="shared" si="8"/>
        <v>103386.192</v>
      </c>
      <c r="V17" s="17"/>
      <c r="W17" s="6" t="str">
        <f t="shared" si="9"/>
        <v>Yes</v>
      </c>
      <c r="AA17" s="6" t="str">
        <f t="shared" si="11"/>
        <v>Yes</v>
      </c>
      <c r="AE17" s="6" t="str">
        <f t="shared" si="13"/>
        <v>Yes</v>
      </c>
      <c r="AH17" s="17"/>
      <c r="AI17" s="6" t="s">
        <v>540</v>
      </c>
      <c r="AK17" s="6" t="s">
        <v>540</v>
      </c>
      <c r="AM17" s="6" t="s">
        <v>540</v>
      </c>
    </row>
    <row r="18" spans="1:45" x14ac:dyDescent="0.45">
      <c r="A18" s="1" t="s">
        <v>118</v>
      </c>
      <c r="B18" s="1" t="s">
        <v>119</v>
      </c>
      <c r="C18" s="12">
        <v>25087</v>
      </c>
      <c r="D18" s="12">
        <f t="shared" si="2"/>
        <v>25641.850000000002</v>
      </c>
      <c r="E18" s="1">
        <v>7</v>
      </c>
      <c r="F18" s="2">
        <v>0.05</v>
      </c>
      <c r="G18" s="2">
        <v>0.15</v>
      </c>
      <c r="H18" s="2">
        <v>0.25</v>
      </c>
      <c r="J18" s="4"/>
      <c r="K18" s="4"/>
      <c r="L18" s="4">
        <v>25641.850000000002</v>
      </c>
      <c r="M18" s="4"/>
      <c r="O18" s="14">
        <f t="shared" si="3"/>
        <v>554.85000000000218</v>
      </c>
      <c r="P18" s="15">
        <f t="shared" si="4"/>
        <v>2.2117032726113213E-2</v>
      </c>
      <c r="R18" s="12">
        <f t="shared" si="5"/>
        <v>25641.850000000002</v>
      </c>
      <c r="S18" s="12">
        <f t="shared" si="6"/>
        <v>1282.0925000000002</v>
      </c>
      <c r="T18" s="12">
        <f t="shared" si="7"/>
        <v>3846.2775000000001</v>
      </c>
      <c r="U18" s="12">
        <f t="shared" si="8"/>
        <v>6410.4625000000005</v>
      </c>
      <c r="V18" s="17"/>
      <c r="W18" s="6" t="str">
        <f t="shared" si="9"/>
        <v>No</v>
      </c>
      <c r="X18" s="6" t="str">
        <f t="shared" si="10"/>
        <v>Yes</v>
      </c>
      <c r="AA18" s="6" t="str">
        <f t="shared" si="11"/>
        <v>No</v>
      </c>
      <c r="AB18" s="6" t="str">
        <f t="shared" si="12"/>
        <v>Yes</v>
      </c>
      <c r="AE18" s="6" t="str">
        <f t="shared" si="13"/>
        <v>No</v>
      </c>
      <c r="AF18" s="6" t="str">
        <f t="shared" si="14"/>
        <v>Yes</v>
      </c>
      <c r="AH18" s="17"/>
      <c r="AI18" s="6" t="s">
        <v>525</v>
      </c>
      <c r="AK18" s="6" t="s">
        <v>525</v>
      </c>
      <c r="AM18" s="6" t="s">
        <v>525</v>
      </c>
    </row>
    <row r="19" spans="1:45" x14ac:dyDescent="0.45">
      <c r="A19" s="1" t="s">
        <v>121</v>
      </c>
      <c r="B19" s="1" t="s">
        <v>122</v>
      </c>
      <c r="C19" s="12">
        <v>164871</v>
      </c>
      <c r="D19" s="12">
        <f t="shared" si="2"/>
        <v>171650.38</v>
      </c>
      <c r="E19" s="1">
        <v>7</v>
      </c>
      <c r="F19" s="2">
        <v>0.25</v>
      </c>
      <c r="G19" s="2">
        <v>0.4</v>
      </c>
      <c r="H19" s="2">
        <v>0.6</v>
      </c>
      <c r="J19" s="4"/>
      <c r="K19" s="4">
        <v>94661.36</v>
      </c>
      <c r="L19" s="4">
        <v>76989.01999999999</v>
      </c>
      <c r="M19" s="4"/>
      <c r="O19" s="14">
        <f t="shared" si="3"/>
        <v>6779.3800000000047</v>
      </c>
      <c r="P19" s="15">
        <f t="shared" si="4"/>
        <v>4.1119299330992135E-2</v>
      </c>
      <c r="R19" s="12">
        <f t="shared" si="5"/>
        <v>171650.38</v>
      </c>
      <c r="S19" s="12">
        <f t="shared" si="6"/>
        <v>42912.595000000001</v>
      </c>
      <c r="T19" s="12">
        <f t="shared" si="7"/>
        <v>68660.152000000002</v>
      </c>
      <c r="U19" s="12">
        <f t="shared" si="8"/>
        <v>102990.228</v>
      </c>
      <c r="V19" s="17"/>
      <c r="W19" s="6" t="str">
        <f t="shared" si="9"/>
        <v>Yes</v>
      </c>
      <c r="AA19" s="6" t="str">
        <f t="shared" si="11"/>
        <v>Yes</v>
      </c>
      <c r="AE19" s="6" t="str">
        <f t="shared" si="13"/>
        <v>No</v>
      </c>
      <c r="AF19" s="6" t="str">
        <f t="shared" si="14"/>
        <v>No</v>
      </c>
      <c r="AG19" s="6" t="str">
        <f t="shared" si="16"/>
        <v>No</v>
      </c>
      <c r="AH19" s="17"/>
      <c r="AI19" s="6" t="s">
        <v>540</v>
      </c>
      <c r="AK19" s="6" t="s">
        <v>540</v>
      </c>
      <c r="AM19" s="6" t="s">
        <v>541</v>
      </c>
      <c r="AO19" s="23" t="s">
        <v>538</v>
      </c>
      <c r="AP19" s="24"/>
      <c r="AQ19" s="24"/>
      <c r="AR19" s="11">
        <f>U19-K19</f>
        <v>8328.8680000000022</v>
      </c>
      <c r="AS19" s="19">
        <f>AR19/L19*100</f>
        <v>10.818254343281684</v>
      </c>
    </row>
    <row r="20" spans="1:45" x14ac:dyDescent="0.45">
      <c r="A20" s="1" t="s">
        <v>6</v>
      </c>
      <c r="B20" s="1" t="s">
        <v>7</v>
      </c>
      <c r="C20" s="12">
        <v>178500</v>
      </c>
      <c r="D20" s="12">
        <f t="shared" si="2"/>
        <v>194002.19999999998</v>
      </c>
      <c r="E20" s="1">
        <v>5</v>
      </c>
      <c r="F20" s="2">
        <v>0.25</v>
      </c>
      <c r="G20" s="2">
        <v>0.4</v>
      </c>
      <c r="H20" s="2">
        <v>0.6</v>
      </c>
      <c r="J20" s="4"/>
      <c r="K20" s="4">
        <v>137631.82999999999</v>
      </c>
      <c r="L20" s="4">
        <v>56370.369999999995</v>
      </c>
      <c r="M20" s="4"/>
      <c r="O20" s="14">
        <f t="shared" si="3"/>
        <v>15502.199999999983</v>
      </c>
      <c r="P20" s="15">
        <f t="shared" si="4"/>
        <v>8.6847058823529319E-2</v>
      </c>
      <c r="R20" s="12">
        <f t="shared" si="5"/>
        <v>194002.19999999998</v>
      </c>
      <c r="S20" s="12">
        <f t="shared" si="6"/>
        <v>48500.549999999996</v>
      </c>
      <c r="T20" s="12">
        <f t="shared" si="7"/>
        <v>77600.87999999999</v>
      </c>
      <c r="U20" s="12">
        <f t="shared" si="8"/>
        <v>116401.31999999999</v>
      </c>
      <c r="V20" s="17"/>
      <c r="W20" s="6" t="str">
        <f t="shared" si="9"/>
        <v>Yes</v>
      </c>
      <c r="AA20" s="6" t="str">
        <f t="shared" si="11"/>
        <v>Yes</v>
      </c>
      <c r="AE20" s="6" t="str">
        <f t="shared" si="13"/>
        <v>Yes</v>
      </c>
      <c r="AH20" s="17"/>
      <c r="AI20" s="6" t="s">
        <v>540</v>
      </c>
      <c r="AK20" s="6" t="s">
        <v>540</v>
      </c>
      <c r="AM20" s="6" t="s">
        <v>540</v>
      </c>
    </row>
    <row r="21" spans="1:45" x14ac:dyDescent="0.45">
      <c r="A21" s="1" t="s">
        <v>124</v>
      </c>
      <c r="B21" s="1" t="s">
        <v>125</v>
      </c>
      <c r="C21" s="12">
        <v>156025</v>
      </c>
      <c r="D21" s="12">
        <f t="shared" si="2"/>
        <v>157384.33000000002</v>
      </c>
      <c r="E21" s="1">
        <v>7</v>
      </c>
      <c r="F21" s="2">
        <v>0.15</v>
      </c>
      <c r="G21" s="2">
        <v>0.3</v>
      </c>
      <c r="H21" s="2">
        <v>0.4</v>
      </c>
      <c r="J21" s="4"/>
      <c r="K21" s="4"/>
      <c r="L21" s="4">
        <v>157384.33000000002</v>
      </c>
      <c r="M21" s="4"/>
      <c r="O21" s="14">
        <f t="shared" si="3"/>
        <v>1359.3300000000163</v>
      </c>
      <c r="P21" s="15">
        <f t="shared" si="4"/>
        <v>8.712257651017569E-3</v>
      </c>
      <c r="R21" s="12">
        <f t="shared" si="5"/>
        <v>157384.33000000002</v>
      </c>
      <c r="S21" s="12">
        <f t="shared" si="6"/>
        <v>23607.649500000003</v>
      </c>
      <c r="T21" s="12">
        <f t="shared" si="7"/>
        <v>47215.299000000006</v>
      </c>
      <c r="U21" s="12">
        <f t="shared" si="8"/>
        <v>62953.732000000011</v>
      </c>
      <c r="V21" s="17"/>
      <c r="W21" s="6" t="str">
        <f t="shared" si="9"/>
        <v>No</v>
      </c>
      <c r="X21" s="6" t="str">
        <f t="shared" si="10"/>
        <v>Yes</v>
      </c>
      <c r="AA21" s="6" t="str">
        <f t="shared" si="11"/>
        <v>No</v>
      </c>
      <c r="AB21" s="6" t="str">
        <f t="shared" si="12"/>
        <v>Yes</v>
      </c>
      <c r="AE21" s="6" t="str">
        <f t="shared" si="13"/>
        <v>No</v>
      </c>
      <c r="AF21" s="6" t="str">
        <f t="shared" si="14"/>
        <v>Yes</v>
      </c>
      <c r="AH21" s="17"/>
      <c r="AI21" s="6" t="s">
        <v>525</v>
      </c>
      <c r="AK21" s="6" t="s">
        <v>525</v>
      </c>
      <c r="AM21" s="6" t="s">
        <v>525</v>
      </c>
    </row>
    <row r="22" spans="1:45" x14ac:dyDescent="0.45">
      <c r="A22" s="1" t="s">
        <v>127</v>
      </c>
      <c r="B22" s="1" t="s">
        <v>128</v>
      </c>
      <c r="C22" s="12">
        <v>24936</v>
      </c>
      <c r="D22" s="12">
        <f t="shared" si="2"/>
        <v>24315.39</v>
      </c>
      <c r="E22" s="1">
        <v>7</v>
      </c>
      <c r="F22" s="2">
        <v>0.1</v>
      </c>
      <c r="G22" s="2">
        <v>0.2</v>
      </c>
      <c r="H22" s="2">
        <v>0.3</v>
      </c>
      <c r="J22" s="4"/>
      <c r="K22" s="4"/>
      <c r="L22" s="4">
        <v>24315.39</v>
      </c>
      <c r="M22" s="4"/>
      <c r="O22" s="14">
        <f t="shared" si="3"/>
        <v>-620.61000000000058</v>
      </c>
      <c r="P22" s="15">
        <f t="shared" si="4"/>
        <v>-2.4888113570741121E-2</v>
      </c>
      <c r="R22" s="12">
        <f t="shared" si="5"/>
        <v>24315.39</v>
      </c>
      <c r="S22" s="12">
        <f t="shared" si="6"/>
        <v>2431.5390000000002</v>
      </c>
      <c r="T22" s="12">
        <f t="shared" si="7"/>
        <v>4863.0780000000004</v>
      </c>
      <c r="U22" s="12">
        <f t="shared" si="8"/>
        <v>7294.6169999999993</v>
      </c>
      <c r="V22" s="17"/>
      <c r="W22" s="6" t="str">
        <f t="shared" si="9"/>
        <v>No</v>
      </c>
      <c r="X22" s="6" t="str">
        <f t="shared" si="10"/>
        <v>Yes</v>
      </c>
      <c r="AA22" s="6" t="str">
        <f t="shared" si="11"/>
        <v>No</v>
      </c>
      <c r="AB22" s="6" t="str">
        <f t="shared" si="12"/>
        <v>Yes</v>
      </c>
      <c r="AE22" s="6" t="str">
        <f t="shared" si="13"/>
        <v>No</v>
      </c>
      <c r="AF22" s="6" t="str">
        <f t="shared" si="14"/>
        <v>Yes</v>
      </c>
      <c r="AH22" s="17"/>
      <c r="AI22" s="6" t="s">
        <v>525</v>
      </c>
      <c r="AK22" s="6" t="s">
        <v>525</v>
      </c>
      <c r="AM22" s="6" t="s">
        <v>525</v>
      </c>
    </row>
    <row r="23" spans="1:45" x14ac:dyDescent="0.45">
      <c r="A23" s="1" t="s">
        <v>130</v>
      </c>
      <c r="B23" s="1" t="s">
        <v>131</v>
      </c>
      <c r="C23" s="12">
        <v>26504</v>
      </c>
      <c r="D23" s="12">
        <f t="shared" si="2"/>
        <v>26685.660000000003</v>
      </c>
      <c r="E23" s="1">
        <v>7</v>
      </c>
      <c r="F23" s="2">
        <v>0.25</v>
      </c>
      <c r="G23" s="2">
        <v>0.4</v>
      </c>
      <c r="H23" s="2">
        <v>0.6</v>
      </c>
      <c r="J23" s="4"/>
      <c r="K23" s="4"/>
      <c r="L23" s="4">
        <v>26685.660000000003</v>
      </c>
      <c r="M23" s="4"/>
      <c r="O23" s="14">
        <f t="shared" si="3"/>
        <v>181.66000000000349</v>
      </c>
      <c r="P23" s="15">
        <f t="shared" si="4"/>
        <v>6.8540597645639712E-3</v>
      </c>
      <c r="R23" s="12">
        <f t="shared" si="5"/>
        <v>26685.660000000003</v>
      </c>
      <c r="S23" s="12">
        <f t="shared" si="6"/>
        <v>6671.4150000000009</v>
      </c>
      <c r="T23" s="12">
        <f t="shared" si="7"/>
        <v>10674.264000000003</v>
      </c>
      <c r="U23" s="12">
        <f t="shared" si="8"/>
        <v>16011.396000000001</v>
      </c>
      <c r="V23" s="17"/>
      <c r="W23" s="6" t="str">
        <f t="shared" si="9"/>
        <v>No</v>
      </c>
      <c r="X23" s="6" t="str">
        <f t="shared" si="10"/>
        <v>Yes</v>
      </c>
      <c r="AA23" s="6" t="str">
        <f t="shared" si="11"/>
        <v>No</v>
      </c>
      <c r="AB23" s="6" t="str">
        <f t="shared" si="12"/>
        <v>Yes</v>
      </c>
      <c r="AE23" s="6" t="str">
        <f t="shared" si="13"/>
        <v>No</v>
      </c>
      <c r="AF23" s="6" t="str">
        <f t="shared" si="14"/>
        <v>Yes</v>
      </c>
      <c r="AH23" s="17"/>
      <c r="AI23" s="6" t="s">
        <v>525</v>
      </c>
      <c r="AK23" s="6" t="s">
        <v>525</v>
      </c>
      <c r="AM23" s="6" t="s">
        <v>525</v>
      </c>
    </row>
    <row r="24" spans="1:45" x14ac:dyDescent="0.45">
      <c r="A24" s="1" t="s">
        <v>133</v>
      </c>
      <c r="B24" s="1" t="s">
        <v>134</v>
      </c>
      <c r="C24" s="12">
        <v>26776</v>
      </c>
      <c r="D24" s="12">
        <f t="shared" si="2"/>
        <v>26052.67</v>
      </c>
      <c r="E24" s="1">
        <v>7</v>
      </c>
      <c r="F24" s="2">
        <v>0.1</v>
      </c>
      <c r="G24" s="2">
        <v>0.2</v>
      </c>
      <c r="H24" s="2">
        <v>0.3</v>
      </c>
      <c r="J24" s="4"/>
      <c r="K24" s="4"/>
      <c r="L24" s="4">
        <v>26052.67</v>
      </c>
      <c r="M24" s="4"/>
      <c r="O24" s="14">
        <f t="shared" si="3"/>
        <v>-723.33000000000175</v>
      </c>
      <c r="P24" s="15">
        <f t="shared" si="4"/>
        <v>-2.7014117119808848E-2</v>
      </c>
      <c r="R24" s="12">
        <f t="shared" si="5"/>
        <v>26052.67</v>
      </c>
      <c r="S24" s="12">
        <f t="shared" si="6"/>
        <v>2605.2669999999998</v>
      </c>
      <c r="T24" s="12">
        <f t="shared" si="7"/>
        <v>5210.5339999999997</v>
      </c>
      <c r="U24" s="12">
        <f t="shared" si="8"/>
        <v>7815.8009999999995</v>
      </c>
      <c r="V24" s="17"/>
      <c r="W24" s="6" t="str">
        <f t="shared" si="9"/>
        <v>No</v>
      </c>
      <c r="X24" s="6" t="str">
        <f t="shared" si="10"/>
        <v>Yes</v>
      </c>
      <c r="AA24" s="6" t="str">
        <f t="shared" si="11"/>
        <v>No</v>
      </c>
      <c r="AB24" s="6" t="str">
        <f t="shared" si="12"/>
        <v>Yes</v>
      </c>
      <c r="AE24" s="6" t="str">
        <f t="shared" si="13"/>
        <v>No</v>
      </c>
      <c r="AF24" s="6" t="str">
        <f t="shared" si="14"/>
        <v>Yes</v>
      </c>
      <c r="AH24" s="17"/>
      <c r="AI24" s="6" t="s">
        <v>525</v>
      </c>
      <c r="AK24" s="6" t="s">
        <v>525</v>
      </c>
      <c r="AM24" s="6" t="s">
        <v>525</v>
      </c>
    </row>
    <row r="25" spans="1:45" x14ac:dyDescent="0.45">
      <c r="A25" s="1" t="s">
        <v>136</v>
      </c>
      <c r="B25" s="1" t="s">
        <v>137</v>
      </c>
      <c r="C25" s="12">
        <v>112039</v>
      </c>
      <c r="D25" s="12">
        <f t="shared" si="2"/>
        <v>111242.45000000001</v>
      </c>
      <c r="E25" s="1">
        <v>7</v>
      </c>
      <c r="F25" s="2">
        <v>0.15</v>
      </c>
      <c r="G25" s="2">
        <v>0.3</v>
      </c>
      <c r="H25" s="2">
        <v>0.4</v>
      </c>
      <c r="J25" s="4"/>
      <c r="K25" s="4"/>
      <c r="L25" s="4">
        <v>111242.45000000001</v>
      </c>
      <c r="M25" s="4"/>
      <c r="O25" s="14">
        <f t="shared" si="3"/>
        <v>-796.54999999998836</v>
      </c>
      <c r="P25" s="15">
        <f t="shared" si="4"/>
        <v>-7.1095779148331239E-3</v>
      </c>
      <c r="R25" s="12">
        <f t="shared" si="5"/>
        <v>111242.45000000001</v>
      </c>
      <c r="S25" s="12">
        <f t="shared" si="6"/>
        <v>16686.3675</v>
      </c>
      <c r="T25" s="12">
        <f t="shared" si="7"/>
        <v>33372.735000000001</v>
      </c>
      <c r="U25" s="12">
        <f t="shared" si="8"/>
        <v>44496.98000000001</v>
      </c>
      <c r="V25" s="17"/>
      <c r="W25" s="6" t="str">
        <f t="shared" si="9"/>
        <v>No</v>
      </c>
      <c r="X25" s="6" t="str">
        <f t="shared" si="10"/>
        <v>Yes</v>
      </c>
      <c r="AA25" s="6" t="str">
        <f t="shared" si="11"/>
        <v>No</v>
      </c>
      <c r="AB25" s="6" t="str">
        <f t="shared" si="12"/>
        <v>Yes</v>
      </c>
      <c r="AE25" s="6" t="str">
        <f t="shared" si="13"/>
        <v>No</v>
      </c>
      <c r="AF25" s="6" t="str">
        <f t="shared" si="14"/>
        <v>Yes</v>
      </c>
      <c r="AH25" s="17"/>
      <c r="AI25" s="6" t="s">
        <v>525</v>
      </c>
      <c r="AK25" s="6" t="s">
        <v>525</v>
      </c>
      <c r="AM25" s="6" t="s">
        <v>525</v>
      </c>
    </row>
    <row r="26" spans="1:45" x14ac:dyDescent="0.45">
      <c r="A26" s="1" t="s">
        <v>139</v>
      </c>
      <c r="B26" s="1" t="s">
        <v>140</v>
      </c>
      <c r="C26" s="12">
        <v>37788</v>
      </c>
      <c r="D26" s="12">
        <f t="shared" si="2"/>
        <v>37612.68</v>
      </c>
      <c r="E26" s="1">
        <v>7</v>
      </c>
      <c r="F26" s="2">
        <v>0.05</v>
      </c>
      <c r="G26" s="2">
        <v>0.15</v>
      </c>
      <c r="H26" s="2">
        <v>0.25</v>
      </c>
      <c r="J26" s="4"/>
      <c r="K26" s="4"/>
      <c r="L26" s="4">
        <v>37612.68</v>
      </c>
      <c r="M26" s="4"/>
      <c r="O26" s="14">
        <f t="shared" si="3"/>
        <v>-175.31999999999971</v>
      </c>
      <c r="P26" s="15">
        <f t="shared" si="4"/>
        <v>-4.6395681168624886E-3</v>
      </c>
      <c r="R26" s="12">
        <f t="shared" si="5"/>
        <v>37612.68</v>
      </c>
      <c r="S26" s="12">
        <f t="shared" si="6"/>
        <v>1880.634</v>
      </c>
      <c r="T26" s="12">
        <f t="shared" si="7"/>
        <v>5641.902</v>
      </c>
      <c r="U26" s="12">
        <f t="shared" si="8"/>
        <v>9403.17</v>
      </c>
      <c r="V26" s="17"/>
      <c r="W26" s="6" t="str">
        <f t="shared" si="9"/>
        <v>No</v>
      </c>
      <c r="X26" s="6" t="str">
        <f t="shared" si="10"/>
        <v>Yes</v>
      </c>
      <c r="AA26" s="6" t="str">
        <f t="shared" si="11"/>
        <v>No</v>
      </c>
      <c r="AB26" s="6" t="str">
        <f t="shared" si="12"/>
        <v>Yes</v>
      </c>
      <c r="AE26" s="6" t="str">
        <f t="shared" si="13"/>
        <v>No</v>
      </c>
      <c r="AF26" s="6" t="str">
        <f t="shared" si="14"/>
        <v>Yes</v>
      </c>
      <c r="AH26" s="17"/>
      <c r="AI26" s="6" t="s">
        <v>525</v>
      </c>
      <c r="AK26" s="6" t="s">
        <v>525</v>
      </c>
      <c r="AM26" s="6" t="s">
        <v>525</v>
      </c>
    </row>
    <row r="27" spans="1:45" x14ac:dyDescent="0.45">
      <c r="A27" s="1" t="s">
        <v>142</v>
      </c>
      <c r="B27" s="1" t="s">
        <v>143</v>
      </c>
      <c r="C27" s="12">
        <v>56619</v>
      </c>
      <c r="D27" s="12">
        <f t="shared" si="2"/>
        <v>57190.86</v>
      </c>
      <c r="E27" s="1">
        <v>7</v>
      </c>
      <c r="F27" s="2">
        <v>0.25</v>
      </c>
      <c r="G27" s="2">
        <v>0.4</v>
      </c>
      <c r="H27" s="2">
        <v>0.6</v>
      </c>
      <c r="J27" s="4"/>
      <c r="K27" s="4">
        <v>46032.23</v>
      </c>
      <c r="L27" s="4">
        <v>11158.63</v>
      </c>
      <c r="M27" s="4"/>
      <c r="O27" s="14">
        <f t="shared" si="3"/>
        <v>571.86000000000058</v>
      </c>
      <c r="P27" s="15">
        <f t="shared" si="4"/>
        <v>1.0100143061516463E-2</v>
      </c>
      <c r="R27" s="12">
        <f t="shared" si="5"/>
        <v>57190.86</v>
      </c>
      <c r="S27" s="12">
        <f t="shared" si="6"/>
        <v>14297.715</v>
      </c>
      <c r="T27" s="12">
        <f t="shared" si="7"/>
        <v>22876.344000000001</v>
      </c>
      <c r="U27" s="12">
        <f t="shared" si="8"/>
        <v>34314.515999999996</v>
      </c>
      <c r="V27" s="17"/>
      <c r="W27" s="6" t="str">
        <f t="shared" si="9"/>
        <v>Yes</v>
      </c>
      <c r="AA27" s="6" t="str">
        <f t="shared" si="11"/>
        <v>Yes</v>
      </c>
      <c r="AE27" s="6" t="str">
        <f t="shared" si="13"/>
        <v>Yes</v>
      </c>
      <c r="AH27" s="17"/>
      <c r="AI27" s="6" t="s">
        <v>540</v>
      </c>
      <c r="AK27" s="6" t="s">
        <v>540</v>
      </c>
      <c r="AM27" s="6" t="s">
        <v>540</v>
      </c>
    </row>
    <row r="28" spans="1:45" x14ac:dyDescent="0.45">
      <c r="A28" s="1" t="s">
        <v>145</v>
      </c>
      <c r="B28" s="1" t="s">
        <v>146</v>
      </c>
      <c r="C28" s="12">
        <v>82869</v>
      </c>
      <c r="D28" s="12">
        <f t="shared" si="2"/>
        <v>84581.63</v>
      </c>
      <c r="E28" s="1">
        <v>7</v>
      </c>
      <c r="F28" s="2">
        <v>0.2</v>
      </c>
      <c r="G28" s="2">
        <v>0.35</v>
      </c>
      <c r="H28" s="2">
        <v>0.5</v>
      </c>
      <c r="J28" s="4"/>
      <c r="K28" s="4"/>
      <c r="L28" s="4">
        <v>84581.63</v>
      </c>
      <c r="M28" s="4"/>
      <c r="O28" s="14">
        <f t="shared" si="3"/>
        <v>1712.6300000000047</v>
      </c>
      <c r="P28" s="15">
        <f t="shared" si="4"/>
        <v>2.0666714935621337E-2</v>
      </c>
      <c r="R28" s="12">
        <f t="shared" si="5"/>
        <v>84581.63</v>
      </c>
      <c r="S28" s="12">
        <f t="shared" si="6"/>
        <v>16916.326000000001</v>
      </c>
      <c r="T28" s="12">
        <f t="shared" si="7"/>
        <v>29603.570499999998</v>
      </c>
      <c r="U28" s="12">
        <f t="shared" si="8"/>
        <v>42290.815000000002</v>
      </c>
      <c r="V28" s="17"/>
      <c r="W28" s="6" t="str">
        <f t="shared" si="9"/>
        <v>No</v>
      </c>
      <c r="X28" s="6" t="str">
        <f t="shared" si="10"/>
        <v>Yes</v>
      </c>
      <c r="AA28" s="6" t="str">
        <f t="shared" si="11"/>
        <v>No</v>
      </c>
      <c r="AB28" s="6" t="str">
        <f t="shared" si="12"/>
        <v>Yes</v>
      </c>
      <c r="AE28" s="6" t="str">
        <f t="shared" si="13"/>
        <v>No</v>
      </c>
      <c r="AF28" s="6" t="str">
        <f t="shared" si="14"/>
        <v>Yes</v>
      </c>
      <c r="AH28" s="17"/>
      <c r="AI28" s="6" t="s">
        <v>525</v>
      </c>
      <c r="AK28" s="6" t="s">
        <v>525</v>
      </c>
      <c r="AM28" s="6" t="s">
        <v>525</v>
      </c>
    </row>
    <row r="29" spans="1:45" x14ac:dyDescent="0.45">
      <c r="A29" s="1" t="s">
        <v>148</v>
      </c>
      <c r="B29" s="1" t="s">
        <v>149</v>
      </c>
      <c r="C29" s="12">
        <v>28193</v>
      </c>
      <c r="D29" s="12">
        <f t="shared" si="2"/>
        <v>28507.84</v>
      </c>
      <c r="E29" s="1">
        <v>7</v>
      </c>
      <c r="F29" s="2">
        <v>0.15</v>
      </c>
      <c r="G29" s="2">
        <v>0.3</v>
      </c>
      <c r="H29" s="2">
        <v>0.4</v>
      </c>
      <c r="J29" s="4"/>
      <c r="K29" s="4"/>
      <c r="L29" s="4">
        <v>28507.84</v>
      </c>
      <c r="M29" s="4"/>
      <c r="O29" s="14">
        <f t="shared" si="3"/>
        <v>314.84000000000015</v>
      </c>
      <c r="P29" s="15">
        <f t="shared" si="4"/>
        <v>1.1167311034653998E-2</v>
      </c>
      <c r="R29" s="12">
        <f t="shared" si="5"/>
        <v>28507.84</v>
      </c>
      <c r="S29" s="12">
        <f t="shared" si="6"/>
        <v>4276.1759999999995</v>
      </c>
      <c r="T29" s="12">
        <f t="shared" si="7"/>
        <v>8552.351999999999</v>
      </c>
      <c r="U29" s="12">
        <f t="shared" si="8"/>
        <v>11403.136</v>
      </c>
      <c r="V29" s="17"/>
      <c r="W29" s="6" t="str">
        <f t="shared" si="9"/>
        <v>No</v>
      </c>
      <c r="X29" s="6" t="str">
        <f t="shared" si="10"/>
        <v>Yes</v>
      </c>
      <c r="AA29" s="6" t="str">
        <f t="shared" si="11"/>
        <v>No</v>
      </c>
      <c r="AB29" s="6" t="str">
        <f t="shared" si="12"/>
        <v>Yes</v>
      </c>
      <c r="AE29" s="6" t="str">
        <f t="shared" si="13"/>
        <v>No</v>
      </c>
      <c r="AF29" s="6" t="str">
        <f t="shared" si="14"/>
        <v>Yes</v>
      </c>
      <c r="AH29" s="17"/>
      <c r="AI29" s="6" t="s">
        <v>525</v>
      </c>
      <c r="AK29" s="6" t="s">
        <v>525</v>
      </c>
      <c r="AM29" s="6" t="s">
        <v>525</v>
      </c>
    </row>
    <row r="30" spans="1:45" x14ac:dyDescent="0.45">
      <c r="A30" s="1" t="s">
        <v>9</v>
      </c>
      <c r="B30" s="1" t="s">
        <v>10</v>
      </c>
      <c r="C30" s="12">
        <v>218377</v>
      </c>
      <c r="D30" s="12">
        <f t="shared" si="2"/>
        <v>218307.6</v>
      </c>
      <c r="E30" s="1">
        <v>5</v>
      </c>
      <c r="F30" s="2">
        <v>0.3</v>
      </c>
      <c r="G30" s="2">
        <v>0.5</v>
      </c>
      <c r="H30" s="2">
        <v>0.7</v>
      </c>
      <c r="J30" s="4"/>
      <c r="K30" s="4">
        <v>126748.37</v>
      </c>
      <c r="L30" s="4">
        <v>91559.23000000001</v>
      </c>
      <c r="M30" s="4"/>
      <c r="O30" s="14">
        <f t="shared" si="3"/>
        <v>-69.399999999994179</v>
      </c>
      <c r="P30" s="15">
        <f t="shared" si="4"/>
        <v>-3.1779903561269813E-4</v>
      </c>
      <c r="R30" s="12">
        <f t="shared" si="5"/>
        <v>218307.6</v>
      </c>
      <c r="S30" s="12">
        <f t="shared" si="6"/>
        <v>65492.28</v>
      </c>
      <c r="T30" s="12">
        <f t="shared" si="7"/>
        <v>109153.8</v>
      </c>
      <c r="U30" s="12">
        <f t="shared" si="8"/>
        <v>152815.32</v>
      </c>
      <c r="V30" s="17"/>
      <c r="W30" s="6" t="str">
        <f t="shared" si="9"/>
        <v>Yes</v>
      </c>
      <c r="AA30" s="6" t="str">
        <f t="shared" si="11"/>
        <v>Yes</v>
      </c>
      <c r="AE30" s="6" t="str">
        <f t="shared" si="13"/>
        <v>No</v>
      </c>
      <c r="AF30" s="6" t="str">
        <f t="shared" si="14"/>
        <v>No</v>
      </c>
      <c r="AG30" s="6" t="str">
        <f t="shared" si="16"/>
        <v>No</v>
      </c>
      <c r="AH30" s="17"/>
      <c r="AI30" s="6" t="s">
        <v>540</v>
      </c>
      <c r="AK30" s="6" t="s">
        <v>540</v>
      </c>
      <c r="AM30" s="6" t="s">
        <v>541</v>
      </c>
      <c r="AO30" s="23" t="s">
        <v>538</v>
      </c>
      <c r="AP30" s="24"/>
      <c r="AQ30" s="24"/>
      <c r="AR30" s="11">
        <f>U30-K30</f>
        <v>26066.950000000012</v>
      </c>
      <c r="AS30" s="19">
        <f>AR30/L30*100</f>
        <v>28.470040650188967</v>
      </c>
    </row>
    <row r="31" spans="1:45" x14ac:dyDescent="0.45">
      <c r="A31" s="1" t="s">
        <v>151</v>
      </c>
      <c r="B31" s="1" t="s">
        <v>152</v>
      </c>
      <c r="C31" s="12">
        <v>56808</v>
      </c>
      <c r="D31" s="12">
        <f t="shared" si="2"/>
        <v>56207.199999999997</v>
      </c>
      <c r="E31" s="1">
        <v>7</v>
      </c>
      <c r="F31" s="2">
        <v>0.2</v>
      </c>
      <c r="G31" s="2">
        <v>0.35</v>
      </c>
      <c r="H31" s="2">
        <v>0.5</v>
      </c>
      <c r="J31" s="4"/>
      <c r="K31" s="4"/>
      <c r="L31" s="4">
        <v>56207.199999999997</v>
      </c>
      <c r="M31" s="4"/>
      <c r="O31" s="14">
        <f t="shared" si="3"/>
        <v>-600.80000000000291</v>
      </c>
      <c r="P31" s="15">
        <f t="shared" si="4"/>
        <v>-1.0575975214758535E-2</v>
      </c>
      <c r="R31" s="12">
        <f t="shared" si="5"/>
        <v>56207.199999999997</v>
      </c>
      <c r="S31" s="12">
        <f t="shared" si="6"/>
        <v>11241.44</v>
      </c>
      <c r="T31" s="12">
        <f t="shared" si="7"/>
        <v>19672.519999999997</v>
      </c>
      <c r="U31" s="12">
        <f t="shared" si="8"/>
        <v>28103.599999999999</v>
      </c>
      <c r="V31" s="17"/>
      <c r="W31" s="6" t="str">
        <f t="shared" si="9"/>
        <v>No</v>
      </c>
      <c r="X31" s="6" t="str">
        <f t="shared" si="10"/>
        <v>Yes</v>
      </c>
      <c r="AA31" s="6" t="str">
        <f t="shared" si="11"/>
        <v>No</v>
      </c>
      <c r="AB31" s="6" t="str">
        <f t="shared" si="12"/>
        <v>Yes</v>
      </c>
      <c r="AE31" s="6" t="str">
        <f t="shared" si="13"/>
        <v>No</v>
      </c>
      <c r="AF31" s="6" t="str">
        <f t="shared" si="14"/>
        <v>Yes</v>
      </c>
      <c r="AH31" s="17"/>
      <c r="AI31" s="6" t="s">
        <v>525</v>
      </c>
      <c r="AK31" s="6" t="s">
        <v>525</v>
      </c>
      <c r="AM31" s="6" t="s">
        <v>525</v>
      </c>
    </row>
    <row r="32" spans="1:45" x14ac:dyDescent="0.45">
      <c r="A32" s="1" t="s">
        <v>12</v>
      </c>
      <c r="B32" s="1" t="s">
        <v>13</v>
      </c>
      <c r="C32" s="12">
        <v>904330</v>
      </c>
      <c r="D32" s="12">
        <f t="shared" si="2"/>
        <v>942192.61</v>
      </c>
      <c r="E32" s="1">
        <v>5</v>
      </c>
      <c r="F32" s="2">
        <v>0.3</v>
      </c>
      <c r="G32" s="2">
        <v>0.5</v>
      </c>
      <c r="H32" s="2">
        <v>0.7</v>
      </c>
      <c r="J32" s="4"/>
      <c r="K32" s="4">
        <v>795726.85</v>
      </c>
      <c r="L32" s="4">
        <v>146465.76</v>
      </c>
      <c r="M32" s="4"/>
      <c r="O32" s="14">
        <f t="shared" si="3"/>
        <v>37862.609999999986</v>
      </c>
      <c r="P32" s="15">
        <f t="shared" si="4"/>
        <v>4.1868134419957299E-2</v>
      </c>
      <c r="R32" s="12">
        <f t="shared" si="5"/>
        <v>942192.61</v>
      </c>
      <c r="S32" s="12">
        <f t="shared" si="6"/>
        <v>282657.783</v>
      </c>
      <c r="T32" s="12">
        <f t="shared" si="7"/>
        <v>471096.30499999999</v>
      </c>
      <c r="U32" s="12">
        <f t="shared" si="8"/>
        <v>659534.82699999993</v>
      </c>
      <c r="V32" s="17"/>
      <c r="W32" s="6" t="str">
        <f t="shared" si="9"/>
        <v>Yes</v>
      </c>
      <c r="AA32" s="6" t="str">
        <f t="shared" si="11"/>
        <v>Yes</v>
      </c>
      <c r="AE32" s="6" t="str">
        <f t="shared" si="13"/>
        <v>Yes</v>
      </c>
      <c r="AH32" s="17"/>
      <c r="AI32" s="6" t="s">
        <v>540</v>
      </c>
      <c r="AK32" s="6" t="s">
        <v>540</v>
      </c>
      <c r="AM32" s="6" t="s">
        <v>540</v>
      </c>
    </row>
    <row r="33" spans="1:45" x14ac:dyDescent="0.45">
      <c r="A33" s="1" t="s">
        <v>154</v>
      </c>
      <c r="B33" s="1" t="s">
        <v>155</v>
      </c>
      <c r="C33" s="12">
        <v>53258</v>
      </c>
      <c r="D33" s="12">
        <f t="shared" si="2"/>
        <v>54962.76</v>
      </c>
      <c r="E33" s="1">
        <v>7</v>
      </c>
      <c r="F33" s="2">
        <v>0.25</v>
      </c>
      <c r="G33" s="2">
        <v>0.4</v>
      </c>
      <c r="H33" s="2">
        <v>0.6</v>
      </c>
      <c r="J33" s="4"/>
      <c r="K33" s="4"/>
      <c r="L33" s="4">
        <v>54962.76</v>
      </c>
      <c r="M33" s="4"/>
      <c r="O33" s="14">
        <f t="shared" si="3"/>
        <v>1704.760000000002</v>
      </c>
      <c r="P33" s="15">
        <f t="shared" si="4"/>
        <v>3.2009463367005934E-2</v>
      </c>
      <c r="R33" s="12">
        <f t="shared" si="5"/>
        <v>54962.76</v>
      </c>
      <c r="S33" s="12">
        <f t="shared" si="6"/>
        <v>13740.69</v>
      </c>
      <c r="T33" s="12">
        <f t="shared" si="7"/>
        <v>21985.104000000003</v>
      </c>
      <c r="U33" s="12">
        <f t="shared" si="8"/>
        <v>32977.656000000003</v>
      </c>
      <c r="V33" s="17"/>
      <c r="W33" s="6" t="str">
        <f t="shared" si="9"/>
        <v>No</v>
      </c>
      <c r="X33" s="6" t="str">
        <f t="shared" si="10"/>
        <v>Yes</v>
      </c>
      <c r="AA33" s="6" t="str">
        <f t="shared" si="11"/>
        <v>No</v>
      </c>
      <c r="AB33" s="6" t="str">
        <f t="shared" si="12"/>
        <v>Yes</v>
      </c>
      <c r="AE33" s="6" t="str">
        <f t="shared" si="13"/>
        <v>No</v>
      </c>
      <c r="AF33" s="6" t="str">
        <f t="shared" si="14"/>
        <v>Yes</v>
      </c>
      <c r="AH33" s="17"/>
      <c r="AI33" s="6" t="s">
        <v>525</v>
      </c>
      <c r="AK33" s="6" t="s">
        <v>525</v>
      </c>
      <c r="AM33" s="6" t="s">
        <v>525</v>
      </c>
    </row>
    <row r="34" spans="1:45" x14ac:dyDescent="0.45">
      <c r="A34" s="1" t="s">
        <v>157</v>
      </c>
      <c r="B34" s="1" t="s">
        <v>158</v>
      </c>
      <c r="C34" s="12">
        <v>71425</v>
      </c>
      <c r="D34" s="12">
        <f t="shared" si="2"/>
        <v>72535.13</v>
      </c>
      <c r="E34" s="1">
        <v>7</v>
      </c>
      <c r="F34" s="2">
        <v>0.2</v>
      </c>
      <c r="G34" s="2">
        <v>0.35</v>
      </c>
      <c r="H34" s="2">
        <v>0.5</v>
      </c>
      <c r="J34" s="4"/>
      <c r="K34" s="4"/>
      <c r="L34" s="4">
        <v>72535.13</v>
      </c>
      <c r="M34" s="4"/>
      <c r="O34" s="14">
        <f t="shared" si="3"/>
        <v>1110.1300000000047</v>
      </c>
      <c r="P34" s="15">
        <f t="shared" si="4"/>
        <v>1.5542597129856558E-2</v>
      </c>
      <c r="R34" s="12">
        <f t="shared" si="5"/>
        <v>72535.13</v>
      </c>
      <c r="S34" s="12">
        <f t="shared" si="6"/>
        <v>14507.026000000002</v>
      </c>
      <c r="T34" s="12">
        <f t="shared" si="7"/>
        <v>25387.2955</v>
      </c>
      <c r="U34" s="12">
        <f t="shared" si="8"/>
        <v>36267.565000000002</v>
      </c>
      <c r="V34" s="17"/>
      <c r="W34" s="6" t="str">
        <f t="shared" si="9"/>
        <v>No</v>
      </c>
      <c r="X34" s="6" t="str">
        <f t="shared" si="10"/>
        <v>Yes</v>
      </c>
      <c r="AA34" s="6" t="str">
        <f t="shared" si="11"/>
        <v>No</v>
      </c>
      <c r="AB34" s="6" t="str">
        <f t="shared" si="12"/>
        <v>Yes</v>
      </c>
      <c r="AE34" s="6" t="str">
        <f t="shared" si="13"/>
        <v>No</v>
      </c>
      <c r="AF34" s="6" t="str">
        <f t="shared" si="14"/>
        <v>Yes</v>
      </c>
      <c r="AH34" s="17"/>
      <c r="AI34" s="6" t="s">
        <v>525</v>
      </c>
      <c r="AK34" s="6" t="s">
        <v>525</v>
      </c>
      <c r="AM34" s="6" t="s">
        <v>525</v>
      </c>
    </row>
    <row r="35" spans="1:45" x14ac:dyDescent="0.45">
      <c r="A35" s="1" t="s">
        <v>160</v>
      </c>
      <c r="B35" s="1" t="s">
        <v>161</v>
      </c>
      <c r="C35" s="12">
        <v>24223</v>
      </c>
      <c r="D35" s="12">
        <f t="shared" si="2"/>
        <v>24584.22</v>
      </c>
      <c r="E35" s="1">
        <v>7</v>
      </c>
      <c r="F35" s="2">
        <v>0.2</v>
      </c>
      <c r="G35" s="2">
        <v>0.35</v>
      </c>
      <c r="H35" s="2">
        <v>0.5</v>
      </c>
      <c r="J35" s="4"/>
      <c r="K35" s="4"/>
      <c r="L35" s="4">
        <v>24584.22</v>
      </c>
      <c r="M35" s="4"/>
      <c r="O35" s="14">
        <f t="shared" si="3"/>
        <v>361.22000000000116</v>
      </c>
      <c r="P35" s="15">
        <f t="shared" si="4"/>
        <v>1.4912273459109159E-2</v>
      </c>
      <c r="R35" s="12">
        <f t="shared" si="5"/>
        <v>24584.22</v>
      </c>
      <c r="S35" s="12">
        <f t="shared" si="6"/>
        <v>4916.844000000001</v>
      </c>
      <c r="T35" s="12">
        <f t="shared" si="7"/>
        <v>8604.476999999999</v>
      </c>
      <c r="U35" s="12">
        <f t="shared" si="8"/>
        <v>12292.11</v>
      </c>
      <c r="V35" s="17"/>
      <c r="W35" s="6" t="str">
        <f t="shared" si="9"/>
        <v>No</v>
      </c>
      <c r="X35" s="6" t="str">
        <f t="shared" si="10"/>
        <v>Yes</v>
      </c>
      <c r="AA35" s="6" t="str">
        <f t="shared" si="11"/>
        <v>No</v>
      </c>
      <c r="AB35" s="6" t="str">
        <f t="shared" si="12"/>
        <v>Yes</v>
      </c>
      <c r="AE35" s="6" t="str">
        <f t="shared" si="13"/>
        <v>No</v>
      </c>
      <c r="AF35" s="6" t="str">
        <f t="shared" si="14"/>
        <v>Yes</v>
      </c>
      <c r="AH35" s="17"/>
      <c r="AI35" s="6" t="s">
        <v>525</v>
      </c>
      <c r="AK35" s="6" t="s">
        <v>525</v>
      </c>
      <c r="AM35" s="6" t="s">
        <v>525</v>
      </c>
    </row>
    <row r="36" spans="1:45" x14ac:dyDescent="0.45">
      <c r="A36" s="1" t="s">
        <v>163</v>
      </c>
      <c r="B36" s="1" t="s">
        <v>164</v>
      </c>
      <c r="C36" s="12">
        <v>42019</v>
      </c>
      <c r="D36" s="12">
        <f t="shared" si="2"/>
        <v>43000.79</v>
      </c>
      <c r="E36" s="1">
        <v>7</v>
      </c>
      <c r="F36" s="2">
        <v>0.3</v>
      </c>
      <c r="G36" s="2">
        <v>0.5</v>
      </c>
      <c r="H36" s="2">
        <v>0.7</v>
      </c>
      <c r="J36" s="4"/>
      <c r="K36" s="4"/>
      <c r="L36" s="4">
        <v>43000.79</v>
      </c>
      <c r="M36" s="4"/>
      <c r="O36" s="14">
        <f t="shared" si="3"/>
        <v>981.79000000000087</v>
      </c>
      <c r="P36" s="15">
        <f t="shared" si="4"/>
        <v>2.336538232704255E-2</v>
      </c>
      <c r="R36" s="12">
        <f t="shared" si="5"/>
        <v>43000.79</v>
      </c>
      <c r="S36" s="12">
        <f t="shared" si="6"/>
        <v>12900.236999999999</v>
      </c>
      <c r="T36" s="12">
        <f t="shared" si="7"/>
        <v>21500.395</v>
      </c>
      <c r="U36" s="12">
        <f t="shared" si="8"/>
        <v>30100.553</v>
      </c>
      <c r="V36" s="17"/>
      <c r="W36" s="6" t="str">
        <f t="shared" si="9"/>
        <v>No</v>
      </c>
      <c r="X36" s="6" t="str">
        <f t="shared" si="10"/>
        <v>Yes</v>
      </c>
      <c r="AA36" s="6" t="str">
        <f t="shared" si="11"/>
        <v>No</v>
      </c>
      <c r="AB36" s="6" t="str">
        <f t="shared" si="12"/>
        <v>Yes</v>
      </c>
      <c r="AE36" s="6" t="str">
        <f t="shared" si="13"/>
        <v>No</v>
      </c>
      <c r="AF36" s="6" t="str">
        <f t="shared" si="14"/>
        <v>Yes</v>
      </c>
      <c r="AH36" s="17"/>
      <c r="AI36" s="6" t="s">
        <v>525</v>
      </c>
      <c r="AK36" s="6" t="s">
        <v>525</v>
      </c>
      <c r="AM36" s="6" t="s">
        <v>525</v>
      </c>
    </row>
    <row r="37" spans="1:45" x14ac:dyDescent="0.45">
      <c r="A37" s="1" t="s">
        <v>166</v>
      </c>
      <c r="B37" s="1" t="s">
        <v>167</v>
      </c>
      <c r="C37" s="12">
        <v>22772</v>
      </c>
      <c r="D37" s="12">
        <f t="shared" si="2"/>
        <v>23054.36</v>
      </c>
      <c r="E37" s="1">
        <v>7</v>
      </c>
      <c r="F37" s="2">
        <v>0.1</v>
      </c>
      <c r="G37" s="2">
        <v>0.2</v>
      </c>
      <c r="H37" s="2">
        <v>0.3</v>
      </c>
      <c r="J37" s="4"/>
      <c r="K37" s="4">
        <v>10086.48</v>
      </c>
      <c r="L37" s="4">
        <v>12967.88</v>
      </c>
      <c r="M37" s="4"/>
      <c r="O37" s="14">
        <f t="shared" si="3"/>
        <v>282.36000000000058</v>
      </c>
      <c r="P37" s="15">
        <f t="shared" si="4"/>
        <v>1.2399437906200622E-2</v>
      </c>
      <c r="R37" s="12">
        <f t="shared" si="5"/>
        <v>23054.36</v>
      </c>
      <c r="S37" s="12">
        <f t="shared" si="6"/>
        <v>2305.4360000000001</v>
      </c>
      <c r="T37" s="12">
        <f t="shared" si="7"/>
        <v>4610.8720000000003</v>
      </c>
      <c r="U37" s="12">
        <f t="shared" si="8"/>
        <v>6916.308</v>
      </c>
      <c r="V37" s="17"/>
      <c r="W37" s="6" t="str">
        <f t="shared" si="9"/>
        <v>Yes</v>
      </c>
      <c r="AA37" s="6" t="str">
        <f t="shared" si="11"/>
        <v>Yes</v>
      </c>
      <c r="AE37" s="6" t="str">
        <f t="shared" si="13"/>
        <v>Yes</v>
      </c>
      <c r="AH37" s="17"/>
      <c r="AI37" s="6" t="s">
        <v>540</v>
      </c>
      <c r="AK37" s="6" t="s">
        <v>540</v>
      </c>
      <c r="AM37" s="6" t="s">
        <v>540</v>
      </c>
    </row>
    <row r="38" spans="1:45" x14ac:dyDescent="0.45">
      <c r="A38" s="1" t="s">
        <v>169</v>
      </c>
      <c r="B38" s="1" t="s">
        <v>170</v>
      </c>
      <c r="C38" s="12">
        <v>16219</v>
      </c>
      <c r="D38" s="12">
        <f t="shared" si="2"/>
        <v>16376.010000000002</v>
      </c>
      <c r="E38" s="1">
        <v>7</v>
      </c>
      <c r="F38" s="2">
        <v>0.2</v>
      </c>
      <c r="G38" s="2">
        <v>0.35</v>
      </c>
      <c r="H38" s="2">
        <v>0.5</v>
      </c>
      <c r="J38" s="4"/>
      <c r="K38" s="4"/>
      <c r="L38" s="4">
        <v>16376.010000000002</v>
      </c>
      <c r="M38" s="4"/>
      <c r="O38" s="14">
        <f t="shared" si="3"/>
        <v>157.01000000000204</v>
      </c>
      <c r="P38" s="15">
        <f t="shared" si="4"/>
        <v>9.6806214933104415E-3</v>
      </c>
      <c r="R38" s="12">
        <f t="shared" si="5"/>
        <v>16376.010000000002</v>
      </c>
      <c r="S38" s="12">
        <f t="shared" si="6"/>
        <v>3275.2020000000007</v>
      </c>
      <c r="T38" s="12">
        <f t="shared" si="7"/>
        <v>5731.6035000000002</v>
      </c>
      <c r="U38" s="12">
        <f t="shared" si="8"/>
        <v>8188.005000000001</v>
      </c>
      <c r="V38" s="17"/>
      <c r="W38" s="6" t="str">
        <f t="shared" si="9"/>
        <v>No</v>
      </c>
      <c r="X38" s="6" t="str">
        <f t="shared" si="10"/>
        <v>Yes</v>
      </c>
      <c r="AA38" s="6" t="str">
        <f t="shared" si="11"/>
        <v>No</v>
      </c>
      <c r="AB38" s="6" t="str">
        <f t="shared" si="12"/>
        <v>Yes</v>
      </c>
      <c r="AE38" s="6" t="str">
        <f t="shared" si="13"/>
        <v>No</v>
      </c>
      <c r="AF38" s="6" t="str">
        <f t="shared" si="14"/>
        <v>Yes</v>
      </c>
      <c r="AH38" s="17"/>
      <c r="AI38" s="6" t="s">
        <v>525</v>
      </c>
      <c r="AK38" s="6" t="s">
        <v>525</v>
      </c>
      <c r="AM38" s="6" t="s">
        <v>525</v>
      </c>
    </row>
    <row r="39" spans="1:45" x14ac:dyDescent="0.45">
      <c r="A39" s="1" t="s">
        <v>15</v>
      </c>
      <c r="B39" s="1" t="s">
        <v>16</v>
      </c>
      <c r="C39" s="12">
        <v>265152</v>
      </c>
      <c r="D39" s="12">
        <f t="shared" si="2"/>
        <v>272644.09999999998</v>
      </c>
      <c r="E39" s="1">
        <v>5</v>
      </c>
      <c r="F39" s="2">
        <v>0.3</v>
      </c>
      <c r="G39" s="2">
        <v>0.5</v>
      </c>
      <c r="H39" s="2">
        <v>0.7</v>
      </c>
      <c r="J39" s="4"/>
      <c r="K39" s="4">
        <v>216627.1</v>
      </c>
      <c r="L39" s="4">
        <v>56017</v>
      </c>
      <c r="M39" s="4"/>
      <c r="O39" s="14">
        <f t="shared" si="3"/>
        <v>7492.0999999999767</v>
      </c>
      <c r="P39" s="15">
        <f t="shared" si="4"/>
        <v>2.8255868332126392E-2</v>
      </c>
      <c r="R39" s="12">
        <f t="shared" si="5"/>
        <v>272644.09999999998</v>
      </c>
      <c r="S39" s="12">
        <f t="shared" si="6"/>
        <v>81793.23</v>
      </c>
      <c r="T39" s="12">
        <f t="shared" si="7"/>
        <v>136322.04999999999</v>
      </c>
      <c r="U39" s="12">
        <f t="shared" si="8"/>
        <v>190850.86999999997</v>
      </c>
      <c r="V39" s="17"/>
      <c r="W39" s="6" t="str">
        <f t="shared" si="9"/>
        <v>Yes</v>
      </c>
      <c r="AA39" s="6" t="str">
        <f t="shared" si="11"/>
        <v>Yes</v>
      </c>
      <c r="AE39" s="6" t="str">
        <f t="shared" si="13"/>
        <v>Yes</v>
      </c>
      <c r="AH39" s="17"/>
      <c r="AI39" s="6" t="s">
        <v>540</v>
      </c>
      <c r="AK39" s="6" t="s">
        <v>540</v>
      </c>
      <c r="AM39" s="6" t="s">
        <v>540</v>
      </c>
    </row>
    <row r="40" spans="1:45" x14ac:dyDescent="0.45">
      <c r="A40" s="1" t="s">
        <v>172</v>
      </c>
      <c r="B40" s="1" t="s">
        <v>173</v>
      </c>
      <c r="C40" s="12">
        <v>21708</v>
      </c>
      <c r="D40" s="12">
        <f t="shared" si="2"/>
        <v>22170.19</v>
      </c>
      <c r="E40" s="1">
        <v>7</v>
      </c>
      <c r="F40" s="2">
        <v>0.15</v>
      </c>
      <c r="G40" s="2">
        <v>0.3</v>
      </c>
      <c r="H40" s="2">
        <v>0.4</v>
      </c>
      <c r="J40" s="4"/>
      <c r="K40" s="4"/>
      <c r="L40" s="4">
        <v>22170.19</v>
      </c>
      <c r="M40" s="4"/>
      <c r="O40" s="14">
        <f t="shared" si="3"/>
        <v>462.18999999999869</v>
      </c>
      <c r="P40" s="15">
        <f t="shared" si="4"/>
        <v>2.1291229039985198E-2</v>
      </c>
      <c r="R40" s="12">
        <f t="shared" si="5"/>
        <v>22170.19</v>
      </c>
      <c r="S40" s="12">
        <f t="shared" si="6"/>
        <v>3325.5284999999999</v>
      </c>
      <c r="T40" s="12">
        <f t="shared" si="7"/>
        <v>6651.0569999999998</v>
      </c>
      <c r="U40" s="12">
        <f t="shared" si="8"/>
        <v>8868.0759999999991</v>
      </c>
      <c r="V40" s="17"/>
      <c r="W40" s="6" t="str">
        <f t="shared" si="9"/>
        <v>No</v>
      </c>
      <c r="X40" s="6" t="str">
        <f t="shared" si="10"/>
        <v>Yes</v>
      </c>
      <c r="AA40" s="6" t="str">
        <f t="shared" si="11"/>
        <v>No</v>
      </c>
      <c r="AB40" s="6" t="str">
        <f t="shared" si="12"/>
        <v>Yes</v>
      </c>
      <c r="AE40" s="6" t="str">
        <f t="shared" si="13"/>
        <v>No</v>
      </c>
      <c r="AF40" s="6" t="str">
        <f t="shared" si="14"/>
        <v>Yes</v>
      </c>
      <c r="AH40" s="17"/>
      <c r="AI40" s="6" t="s">
        <v>525</v>
      </c>
      <c r="AK40" s="6" t="s">
        <v>525</v>
      </c>
      <c r="AM40" s="6" t="s">
        <v>525</v>
      </c>
    </row>
    <row r="41" spans="1:45" x14ac:dyDescent="0.45">
      <c r="A41" s="1" t="s">
        <v>175</v>
      </c>
      <c r="B41" s="1" t="s">
        <v>176</v>
      </c>
      <c r="C41" s="12">
        <v>29744</v>
      </c>
      <c r="D41" s="12">
        <f t="shared" si="2"/>
        <v>30262.42</v>
      </c>
      <c r="E41" s="1">
        <v>7</v>
      </c>
      <c r="F41" s="2">
        <v>0.15</v>
      </c>
      <c r="G41" s="2">
        <v>0.3</v>
      </c>
      <c r="H41" s="2">
        <v>0.4</v>
      </c>
      <c r="J41" s="4"/>
      <c r="K41" s="4"/>
      <c r="L41" s="4">
        <v>30262.42</v>
      </c>
      <c r="M41" s="4"/>
      <c r="O41" s="14">
        <f t="shared" si="3"/>
        <v>518.41999999999825</v>
      </c>
      <c r="P41" s="15">
        <f t="shared" si="4"/>
        <v>1.7429397525551314E-2</v>
      </c>
      <c r="R41" s="12">
        <f t="shared" si="5"/>
        <v>30262.42</v>
      </c>
      <c r="S41" s="12">
        <f t="shared" si="6"/>
        <v>4539.3629999999994</v>
      </c>
      <c r="T41" s="12">
        <f t="shared" si="7"/>
        <v>9078.7259999999987</v>
      </c>
      <c r="U41" s="12">
        <f t="shared" si="8"/>
        <v>12104.968000000001</v>
      </c>
      <c r="V41" s="17"/>
      <c r="W41" s="6" t="str">
        <f t="shared" si="9"/>
        <v>No</v>
      </c>
      <c r="X41" s="6" t="str">
        <f t="shared" si="10"/>
        <v>Yes</v>
      </c>
      <c r="AA41" s="6" t="str">
        <f t="shared" si="11"/>
        <v>No</v>
      </c>
      <c r="AB41" s="6" t="str">
        <f t="shared" si="12"/>
        <v>Yes</v>
      </c>
      <c r="AE41" s="6" t="str">
        <f t="shared" si="13"/>
        <v>No</v>
      </c>
      <c r="AF41" s="6" t="str">
        <f t="shared" si="14"/>
        <v>Yes</v>
      </c>
      <c r="AH41" s="17"/>
      <c r="AI41" s="6" t="s">
        <v>525</v>
      </c>
      <c r="AK41" s="6" t="s">
        <v>525</v>
      </c>
      <c r="AM41" s="6" t="s">
        <v>525</v>
      </c>
    </row>
    <row r="42" spans="1:45" x14ac:dyDescent="0.45">
      <c r="A42" s="1" t="s">
        <v>178</v>
      </c>
      <c r="B42" s="1" t="s">
        <v>179</v>
      </c>
      <c r="C42" s="12">
        <v>56684</v>
      </c>
      <c r="D42" s="12">
        <f t="shared" si="2"/>
        <v>58676.4</v>
      </c>
      <c r="E42" s="1">
        <v>7</v>
      </c>
      <c r="F42" s="2">
        <v>0.3</v>
      </c>
      <c r="G42" s="2">
        <v>0.5</v>
      </c>
      <c r="H42" s="2">
        <v>0.7</v>
      </c>
      <c r="J42" s="4"/>
      <c r="K42" s="4">
        <v>58676.4</v>
      </c>
      <c r="L42" s="4"/>
      <c r="M42" s="4"/>
      <c r="O42" s="14">
        <f t="shared" si="3"/>
        <v>1992.4000000000015</v>
      </c>
      <c r="P42" s="15">
        <f t="shared" si="4"/>
        <v>3.5149248465175385E-2</v>
      </c>
      <c r="R42" s="12">
        <f t="shared" si="5"/>
        <v>58676.4</v>
      </c>
      <c r="S42" s="12">
        <f t="shared" si="6"/>
        <v>17602.919999999998</v>
      </c>
      <c r="T42" s="12">
        <f t="shared" si="7"/>
        <v>29338.2</v>
      </c>
      <c r="U42" s="12">
        <f t="shared" si="8"/>
        <v>41073.479999999996</v>
      </c>
      <c r="V42" s="17"/>
      <c r="W42" s="6" t="str">
        <f t="shared" si="9"/>
        <v>Yes</v>
      </c>
      <c r="AA42" s="6" t="str">
        <f t="shared" si="11"/>
        <v>Yes</v>
      </c>
      <c r="AE42" s="6" t="str">
        <f t="shared" si="13"/>
        <v>Yes</v>
      </c>
      <c r="AH42" s="17"/>
      <c r="AI42" s="6" t="s">
        <v>540</v>
      </c>
      <c r="AK42" s="6" t="s">
        <v>540</v>
      </c>
      <c r="AM42" s="6" t="s">
        <v>540</v>
      </c>
    </row>
    <row r="43" spans="1:45" x14ac:dyDescent="0.45">
      <c r="A43" s="1" t="s">
        <v>181</v>
      </c>
      <c r="B43" s="1" t="s">
        <v>182</v>
      </c>
      <c r="C43" s="12">
        <v>12981</v>
      </c>
      <c r="D43" s="12">
        <f t="shared" si="2"/>
        <v>13002.8</v>
      </c>
      <c r="E43" s="1">
        <v>7</v>
      </c>
      <c r="F43" s="2">
        <v>0.15</v>
      </c>
      <c r="G43" s="2">
        <v>0.3</v>
      </c>
      <c r="H43" s="2">
        <v>0.4</v>
      </c>
      <c r="J43" s="4"/>
      <c r="K43" s="4"/>
      <c r="L43" s="4">
        <v>13002.8</v>
      </c>
      <c r="M43" s="4"/>
      <c r="O43" s="14">
        <f t="shared" si="3"/>
        <v>21.799999999999272</v>
      </c>
      <c r="P43" s="15">
        <f t="shared" si="4"/>
        <v>1.6793775518064303E-3</v>
      </c>
      <c r="R43" s="12">
        <f t="shared" si="5"/>
        <v>13002.8</v>
      </c>
      <c r="S43" s="12">
        <f t="shared" si="6"/>
        <v>1950.4199999999998</v>
      </c>
      <c r="T43" s="12">
        <f t="shared" si="7"/>
        <v>3900.8399999999997</v>
      </c>
      <c r="U43" s="12">
        <f t="shared" si="8"/>
        <v>5201.12</v>
      </c>
      <c r="V43" s="17"/>
      <c r="W43" s="6" t="str">
        <f t="shared" si="9"/>
        <v>No</v>
      </c>
      <c r="X43" s="6" t="str">
        <f t="shared" si="10"/>
        <v>Yes</v>
      </c>
      <c r="AA43" s="6" t="str">
        <f t="shared" si="11"/>
        <v>No</v>
      </c>
      <c r="AB43" s="6" t="str">
        <f t="shared" si="12"/>
        <v>Yes</v>
      </c>
      <c r="AE43" s="6" t="str">
        <f t="shared" si="13"/>
        <v>No</v>
      </c>
      <c r="AF43" s="6" t="str">
        <f t="shared" si="14"/>
        <v>Yes</v>
      </c>
      <c r="AH43" s="17"/>
      <c r="AI43" s="6" t="s">
        <v>525</v>
      </c>
      <c r="AK43" s="6" t="s">
        <v>525</v>
      </c>
      <c r="AM43" s="6" t="s">
        <v>525</v>
      </c>
    </row>
    <row r="44" spans="1:45" x14ac:dyDescent="0.45">
      <c r="A44" s="1" t="s">
        <v>18</v>
      </c>
      <c r="B44" s="1" t="s">
        <v>19</v>
      </c>
      <c r="C44" s="12">
        <v>250227</v>
      </c>
      <c r="D44" s="12">
        <f t="shared" si="2"/>
        <v>268189.02</v>
      </c>
      <c r="E44" s="1">
        <v>5</v>
      </c>
      <c r="F44" s="2">
        <v>0.3</v>
      </c>
      <c r="G44" s="2">
        <v>0.5</v>
      </c>
      <c r="H44" s="2">
        <v>0.7</v>
      </c>
      <c r="J44" s="4"/>
      <c r="K44" s="4">
        <v>183836.99</v>
      </c>
      <c r="L44" s="4">
        <v>84352.03</v>
      </c>
      <c r="M44" s="4"/>
      <c r="O44" s="14">
        <f t="shared" si="3"/>
        <v>17962.020000000019</v>
      </c>
      <c r="P44" s="15">
        <f t="shared" si="4"/>
        <v>7.178290112577787E-2</v>
      </c>
      <c r="R44" s="12">
        <f t="shared" si="5"/>
        <v>268189.02</v>
      </c>
      <c r="S44" s="12">
        <f t="shared" si="6"/>
        <v>80456.706000000006</v>
      </c>
      <c r="T44" s="12">
        <f t="shared" si="7"/>
        <v>134094.51</v>
      </c>
      <c r="U44" s="12">
        <f t="shared" si="8"/>
        <v>187732.31400000001</v>
      </c>
      <c r="V44" s="17"/>
      <c r="W44" s="6" t="str">
        <f t="shared" si="9"/>
        <v>Yes</v>
      </c>
      <c r="AA44" s="6" t="str">
        <f t="shared" si="11"/>
        <v>Yes</v>
      </c>
      <c r="AE44" s="6" t="str">
        <f t="shared" si="13"/>
        <v>No</v>
      </c>
      <c r="AF44" s="6" t="str">
        <f t="shared" si="14"/>
        <v>No</v>
      </c>
      <c r="AG44" s="6" t="str">
        <f t="shared" si="16"/>
        <v>No</v>
      </c>
      <c r="AH44" s="17"/>
      <c r="AI44" s="6" t="s">
        <v>540</v>
      </c>
      <c r="AK44" s="6" t="s">
        <v>540</v>
      </c>
      <c r="AM44" s="6" t="s">
        <v>541</v>
      </c>
      <c r="AO44" s="23" t="s">
        <v>538</v>
      </c>
      <c r="AP44" s="24"/>
      <c r="AQ44" s="24"/>
      <c r="AR44" s="11">
        <f>U44-K44</f>
        <v>3895.3240000000224</v>
      </c>
      <c r="AS44" s="19">
        <f>AR44/L44*100</f>
        <v>4.6179374699103537</v>
      </c>
    </row>
    <row r="45" spans="1:45" x14ac:dyDescent="0.45">
      <c r="A45" s="1" t="s">
        <v>184</v>
      </c>
      <c r="B45" s="1" t="s">
        <v>185</v>
      </c>
      <c r="C45" s="12">
        <v>16777</v>
      </c>
      <c r="D45" s="12">
        <f t="shared" si="2"/>
        <v>16970.949999999997</v>
      </c>
      <c r="E45" s="1">
        <v>7</v>
      </c>
      <c r="F45" s="2">
        <v>0.2</v>
      </c>
      <c r="G45" s="2">
        <v>0.35</v>
      </c>
      <c r="H45" s="2">
        <v>0.5</v>
      </c>
      <c r="J45" s="4"/>
      <c r="K45" s="4"/>
      <c r="L45" s="4">
        <v>16970.949999999997</v>
      </c>
      <c r="M45" s="4"/>
      <c r="O45" s="14">
        <f t="shared" si="3"/>
        <v>193.94999999999709</v>
      </c>
      <c r="P45" s="15">
        <f t="shared" si="4"/>
        <v>1.1560469690647737E-2</v>
      </c>
      <c r="R45" s="12">
        <f t="shared" si="5"/>
        <v>16970.949999999997</v>
      </c>
      <c r="S45" s="12">
        <f t="shared" si="6"/>
        <v>3394.1899999999996</v>
      </c>
      <c r="T45" s="12">
        <f t="shared" si="7"/>
        <v>5939.8324999999986</v>
      </c>
      <c r="U45" s="12">
        <f t="shared" si="8"/>
        <v>8485.4749999999985</v>
      </c>
      <c r="V45" s="17"/>
      <c r="W45" s="6" t="str">
        <f t="shared" si="9"/>
        <v>No</v>
      </c>
      <c r="X45" s="6" t="str">
        <f t="shared" si="10"/>
        <v>Yes</v>
      </c>
      <c r="AA45" s="6" t="str">
        <f t="shared" si="11"/>
        <v>No</v>
      </c>
      <c r="AB45" s="6" t="str">
        <f t="shared" si="12"/>
        <v>Yes</v>
      </c>
      <c r="AE45" s="6" t="str">
        <f t="shared" si="13"/>
        <v>No</v>
      </c>
      <c r="AF45" s="6" t="str">
        <f t="shared" si="14"/>
        <v>Yes</v>
      </c>
      <c r="AH45" s="17"/>
      <c r="AI45" s="6" t="s">
        <v>525</v>
      </c>
      <c r="AK45" s="6" t="s">
        <v>525</v>
      </c>
      <c r="AM45" s="6" t="s">
        <v>525</v>
      </c>
    </row>
    <row r="46" spans="1:45" x14ac:dyDescent="0.45">
      <c r="A46" s="1" t="s">
        <v>187</v>
      </c>
      <c r="B46" s="1" t="s">
        <v>188</v>
      </c>
      <c r="C46" s="12">
        <v>112390</v>
      </c>
      <c r="D46" s="12">
        <f t="shared" si="2"/>
        <v>117000.22</v>
      </c>
      <c r="E46" s="1">
        <v>7</v>
      </c>
      <c r="F46" s="2">
        <v>0.3</v>
      </c>
      <c r="G46" s="2">
        <v>0.5</v>
      </c>
      <c r="H46" s="2">
        <v>0.7</v>
      </c>
      <c r="J46" s="4"/>
      <c r="K46" s="4">
        <v>107931.03</v>
      </c>
      <c r="L46" s="4">
        <v>9069.19</v>
      </c>
      <c r="M46" s="4"/>
      <c r="O46" s="14">
        <f t="shared" si="3"/>
        <v>4610.2200000000012</v>
      </c>
      <c r="P46" s="15">
        <f t="shared" si="4"/>
        <v>4.1019841622920196E-2</v>
      </c>
      <c r="R46" s="12">
        <f t="shared" si="5"/>
        <v>117000.22</v>
      </c>
      <c r="S46" s="12">
        <f t="shared" si="6"/>
        <v>35100.065999999999</v>
      </c>
      <c r="T46" s="12">
        <f t="shared" si="7"/>
        <v>58500.11</v>
      </c>
      <c r="U46" s="12">
        <f t="shared" si="8"/>
        <v>81900.153999999995</v>
      </c>
      <c r="V46" s="17"/>
      <c r="W46" s="6" t="str">
        <f t="shared" si="9"/>
        <v>Yes</v>
      </c>
      <c r="AA46" s="6" t="str">
        <f t="shared" si="11"/>
        <v>Yes</v>
      </c>
      <c r="AE46" s="6" t="str">
        <f t="shared" si="13"/>
        <v>Yes</v>
      </c>
      <c r="AH46" s="17"/>
      <c r="AI46" s="6" t="s">
        <v>540</v>
      </c>
      <c r="AK46" s="6" t="s">
        <v>540</v>
      </c>
      <c r="AM46" s="6" t="s">
        <v>540</v>
      </c>
    </row>
    <row r="47" spans="1:45" x14ac:dyDescent="0.45">
      <c r="A47" s="1" t="s">
        <v>190</v>
      </c>
      <c r="B47" s="1" t="s">
        <v>191</v>
      </c>
      <c r="C47" s="12">
        <v>29083</v>
      </c>
      <c r="D47" s="12">
        <f t="shared" si="2"/>
        <v>31701.120000000003</v>
      </c>
      <c r="E47" s="1">
        <v>7</v>
      </c>
      <c r="F47" s="2">
        <v>0.3</v>
      </c>
      <c r="G47" s="2">
        <v>0.5</v>
      </c>
      <c r="H47" s="2">
        <v>0.7</v>
      </c>
      <c r="J47" s="4"/>
      <c r="K47" s="4"/>
      <c r="L47" s="4">
        <v>31701.120000000003</v>
      </c>
      <c r="M47" s="4"/>
      <c r="O47" s="14">
        <f t="shared" si="3"/>
        <v>2618.1200000000026</v>
      </c>
      <c r="P47" s="15">
        <f t="shared" si="4"/>
        <v>9.0022349826359135E-2</v>
      </c>
      <c r="R47" s="12">
        <f t="shared" si="5"/>
        <v>31701.120000000003</v>
      </c>
      <c r="S47" s="12">
        <f t="shared" si="6"/>
        <v>9510.3360000000011</v>
      </c>
      <c r="T47" s="12">
        <f t="shared" si="7"/>
        <v>15850.560000000001</v>
      </c>
      <c r="U47" s="12">
        <f t="shared" si="8"/>
        <v>22190.784</v>
      </c>
      <c r="V47" s="17"/>
      <c r="W47" s="6" t="str">
        <f t="shared" si="9"/>
        <v>No</v>
      </c>
      <c r="X47" s="6" t="str">
        <f t="shared" si="10"/>
        <v>Yes</v>
      </c>
      <c r="AA47" s="6" t="str">
        <f t="shared" si="11"/>
        <v>No</v>
      </c>
      <c r="AB47" s="6" t="str">
        <f t="shared" si="12"/>
        <v>Yes</v>
      </c>
      <c r="AE47" s="6" t="str">
        <f t="shared" si="13"/>
        <v>No</v>
      </c>
      <c r="AF47" s="6" t="str">
        <f t="shared" si="14"/>
        <v>Yes</v>
      </c>
      <c r="AH47" s="17"/>
      <c r="AI47" s="6" t="s">
        <v>525</v>
      </c>
      <c r="AK47" s="6" t="s">
        <v>525</v>
      </c>
      <c r="AM47" s="6" t="s">
        <v>525</v>
      </c>
    </row>
    <row r="48" spans="1:45" x14ac:dyDescent="0.45">
      <c r="A48" s="1" t="s">
        <v>193</v>
      </c>
      <c r="B48" s="1" t="s">
        <v>194</v>
      </c>
      <c r="C48" s="12">
        <v>29593</v>
      </c>
      <c r="D48" s="12">
        <f t="shared" si="2"/>
        <v>31715.160000000003</v>
      </c>
      <c r="E48" s="1">
        <v>7</v>
      </c>
      <c r="F48" s="2">
        <v>0.05</v>
      </c>
      <c r="G48" s="2">
        <v>0.15</v>
      </c>
      <c r="H48" s="2">
        <v>0.25</v>
      </c>
      <c r="J48" s="4"/>
      <c r="K48" s="4"/>
      <c r="L48" s="4">
        <v>31715.160000000003</v>
      </c>
      <c r="M48" s="4"/>
      <c r="O48" s="14">
        <f t="shared" si="3"/>
        <v>2122.1600000000035</v>
      </c>
      <c r="P48" s="15">
        <f t="shared" si="4"/>
        <v>7.1711553407900641E-2</v>
      </c>
      <c r="R48" s="12">
        <f t="shared" si="5"/>
        <v>31715.160000000003</v>
      </c>
      <c r="S48" s="12">
        <f t="shared" si="6"/>
        <v>1585.7580000000003</v>
      </c>
      <c r="T48" s="12">
        <f t="shared" si="7"/>
        <v>4757.2740000000003</v>
      </c>
      <c r="U48" s="12">
        <f t="shared" si="8"/>
        <v>7928.7900000000009</v>
      </c>
      <c r="V48" s="17"/>
      <c r="W48" s="6" t="str">
        <f t="shared" si="9"/>
        <v>No</v>
      </c>
      <c r="X48" s="6" t="str">
        <f t="shared" si="10"/>
        <v>Yes</v>
      </c>
      <c r="AA48" s="6" t="str">
        <f t="shared" si="11"/>
        <v>No</v>
      </c>
      <c r="AB48" s="6" t="str">
        <f t="shared" si="12"/>
        <v>Yes</v>
      </c>
      <c r="AE48" s="6" t="str">
        <f t="shared" si="13"/>
        <v>No</v>
      </c>
      <c r="AF48" s="6" t="str">
        <f t="shared" si="14"/>
        <v>Yes</v>
      </c>
      <c r="AH48" s="17"/>
      <c r="AI48" s="6" t="s">
        <v>525</v>
      </c>
      <c r="AK48" s="6" t="s">
        <v>525</v>
      </c>
      <c r="AM48" s="6" t="s">
        <v>525</v>
      </c>
    </row>
    <row r="49" spans="1:39" x14ac:dyDescent="0.45">
      <c r="A49" s="1" t="s">
        <v>196</v>
      </c>
      <c r="B49" s="1" t="s">
        <v>197</v>
      </c>
      <c r="C49" s="12">
        <v>105440</v>
      </c>
      <c r="D49" s="12">
        <f t="shared" si="2"/>
        <v>112254.74</v>
      </c>
      <c r="E49" s="1">
        <v>7</v>
      </c>
      <c r="F49" s="2">
        <v>0.3</v>
      </c>
      <c r="G49" s="2">
        <v>0.5</v>
      </c>
      <c r="H49" s="2">
        <v>0.7</v>
      </c>
      <c r="J49" s="4"/>
      <c r="K49" s="4">
        <v>95882.57</v>
      </c>
      <c r="L49" s="4">
        <v>16372.17</v>
      </c>
      <c r="M49" s="4"/>
      <c r="O49" s="14">
        <f t="shared" si="3"/>
        <v>6814.7400000000052</v>
      </c>
      <c r="P49" s="15">
        <f t="shared" si="4"/>
        <v>6.4631449165402172E-2</v>
      </c>
      <c r="R49" s="12">
        <f t="shared" si="5"/>
        <v>112254.74</v>
      </c>
      <c r="S49" s="12">
        <f t="shared" si="6"/>
        <v>33676.421999999999</v>
      </c>
      <c r="T49" s="12">
        <f t="shared" si="7"/>
        <v>56127.37</v>
      </c>
      <c r="U49" s="12">
        <f t="shared" si="8"/>
        <v>78578.317999999999</v>
      </c>
      <c r="V49" s="17"/>
      <c r="W49" s="6" t="str">
        <f t="shared" si="9"/>
        <v>Yes</v>
      </c>
      <c r="AA49" s="6" t="str">
        <f t="shared" si="11"/>
        <v>Yes</v>
      </c>
      <c r="AE49" s="6" t="str">
        <f t="shared" si="13"/>
        <v>Yes</v>
      </c>
      <c r="AH49" s="17"/>
      <c r="AI49" s="6" t="s">
        <v>540</v>
      </c>
      <c r="AK49" s="6" t="s">
        <v>540</v>
      </c>
      <c r="AM49" s="6" t="s">
        <v>540</v>
      </c>
    </row>
    <row r="50" spans="1:39" x14ac:dyDescent="0.45">
      <c r="A50" s="1" t="s">
        <v>199</v>
      </c>
      <c r="B50" s="1" t="s">
        <v>200</v>
      </c>
      <c r="C50" s="12">
        <v>92092</v>
      </c>
      <c r="D50" s="12">
        <f t="shared" si="2"/>
        <v>94580.549999999988</v>
      </c>
      <c r="E50" s="1">
        <v>7</v>
      </c>
      <c r="F50" s="2">
        <v>0.3</v>
      </c>
      <c r="G50" s="2">
        <v>0.5</v>
      </c>
      <c r="H50" s="2">
        <v>0.7</v>
      </c>
      <c r="J50" s="4"/>
      <c r="K50" s="4">
        <v>78927.289999999994</v>
      </c>
      <c r="L50" s="4">
        <v>15653.26</v>
      </c>
      <c r="M50" s="4"/>
      <c r="O50" s="14">
        <f t="shared" si="3"/>
        <v>2488.5499999999884</v>
      </c>
      <c r="P50" s="15">
        <f t="shared" si="4"/>
        <v>2.7022434087651353E-2</v>
      </c>
      <c r="R50" s="12">
        <f t="shared" si="5"/>
        <v>94580.549999999988</v>
      </c>
      <c r="S50" s="12">
        <f t="shared" si="6"/>
        <v>28374.164999999997</v>
      </c>
      <c r="T50" s="12">
        <f t="shared" si="7"/>
        <v>47290.274999999994</v>
      </c>
      <c r="U50" s="12">
        <f t="shared" si="8"/>
        <v>66206.384999999995</v>
      </c>
      <c r="V50" s="17"/>
      <c r="W50" s="6" t="str">
        <f t="shared" si="9"/>
        <v>Yes</v>
      </c>
      <c r="AA50" s="6" t="str">
        <f t="shared" si="11"/>
        <v>Yes</v>
      </c>
      <c r="AE50" s="6" t="str">
        <f t="shared" si="13"/>
        <v>Yes</v>
      </c>
      <c r="AH50" s="17"/>
      <c r="AI50" s="6" t="s">
        <v>540</v>
      </c>
      <c r="AK50" s="6" t="s">
        <v>540</v>
      </c>
      <c r="AM50" s="6" t="s">
        <v>540</v>
      </c>
    </row>
    <row r="51" spans="1:39" x14ac:dyDescent="0.45">
      <c r="A51" s="1" t="s">
        <v>202</v>
      </c>
      <c r="B51" s="1" t="s">
        <v>203</v>
      </c>
      <c r="C51" s="12">
        <v>58740</v>
      </c>
      <c r="D51" s="12">
        <f t="shared" si="2"/>
        <v>60433.39</v>
      </c>
      <c r="E51" s="1">
        <v>7</v>
      </c>
      <c r="F51" s="2">
        <v>0.25</v>
      </c>
      <c r="G51" s="2">
        <v>0.4</v>
      </c>
      <c r="H51" s="2">
        <v>0.6</v>
      </c>
      <c r="J51" s="4"/>
      <c r="K51" s="4">
        <v>41818.589999999997</v>
      </c>
      <c r="L51" s="4">
        <v>18614.8</v>
      </c>
      <c r="M51" s="4"/>
      <c r="O51" s="14">
        <f t="shared" si="3"/>
        <v>1693.3899999999994</v>
      </c>
      <c r="P51" s="15">
        <f t="shared" si="4"/>
        <v>2.882856656452161E-2</v>
      </c>
      <c r="R51" s="12">
        <f t="shared" si="5"/>
        <v>60433.39</v>
      </c>
      <c r="S51" s="12">
        <f t="shared" si="6"/>
        <v>15108.3475</v>
      </c>
      <c r="T51" s="12">
        <f t="shared" si="7"/>
        <v>24173.356</v>
      </c>
      <c r="U51" s="12">
        <f t="shared" si="8"/>
        <v>36260.034</v>
      </c>
      <c r="V51" s="17"/>
      <c r="W51" s="6" t="str">
        <f t="shared" si="9"/>
        <v>Yes</v>
      </c>
      <c r="AA51" s="6" t="str">
        <f t="shared" si="11"/>
        <v>Yes</v>
      </c>
      <c r="AE51" s="6" t="str">
        <f t="shared" si="13"/>
        <v>Yes</v>
      </c>
      <c r="AH51" s="17"/>
      <c r="AI51" s="6" t="s">
        <v>540</v>
      </c>
      <c r="AK51" s="6" t="s">
        <v>540</v>
      </c>
      <c r="AM51" s="6" t="s">
        <v>540</v>
      </c>
    </row>
    <row r="52" spans="1:39" x14ac:dyDescent="0.45">
      <c r="A52" s="1" t="s">
        <v>205</v>
      </c>
      <c r="B52" s="1" t="s">
        <v>206</v>
      </c>
      <c r="C52" s="12">
        <v>161106</v>
      </c>
      <c r="D52" s="12">
        <f t="shared" si="2"/>
        <v>172774.17</v>
      </c>
      <c r="E52" s="1">
        <v>7</v>
      </c>
      <c r="F52" s="2">
        <v>0.15</v>
      </c>
      <c r="G52" s="2">
        <v>0.3</v>
      </c>
      <c r="H52" s="2">
        <v>0.4</v>
      </c>
      <c r="J52" s="4"/>
      <c r="K52" s="4">
        <v>122480.93000000001</v>
      </c>
      <c r="L52" s="4">
        <v>50293.240000000005</v>
      </c>
      <c r="M52" s="4"/>
      <c r="O52" s="14">
        <f t="shared" si="3"/>
        <v>11668.170000000013</v>
      </c>
      <c r="P52" s="15">
        <f t="shared" si="4"/>
        <v>7.242542177200112E-2</v>
      </c>
      <c r="R52" s="12">
        <f t="shared" si="5"/>
        <v>172774.17</v>
      </c>
      <c r="S52" s="12">
        <f t="shared" si="6"/>
        <v>25916.125500000002</v>
      </c>
      <c r="T52" s="12">
        <f t="shared" si="7"/>
        <v>51832.251000000004</v>
      </c>
      <c r="U52" s="12">
        <f t="shared" si="8"/>
        <v>69109.668000000005</v>
      </c>
      <c r="V52" s="17"/>
      <c r="W52" s="6" t="str">
        <f t="shared" si="9"/>
        <v>Yes</v>
      </c>
      <c r="AA52" s="6" t="str">
        <f t="shared" si="11"/>
        <v>Yes</v>
      </c>
      <c r="AE52" s="6" t="str">
        <f t="shared" si="13"/>
        <v>Yes</v>
      </c>
      <c r="AH52" s="17"/>
      <c r="AI52" s="6" t="s">
        <v>540</v>
      </c>
      <c r="AK52" s="6" t="s">
        <v>540</v>
      </c>
      <c r="AM52" s="6" t="s">
        <v>540</v>
      </c>
    </row>
    <row r="53" spans="1:39" x14ac:dyDescent="0.45">
      <c r="A53" s="1" t="s">
        <v>21</v>
      </c>
      <c r="B53" s="1" t="s">
        <v>22</v>
      </c>
      <c r="C53" s="12">
        <v>4352037</v>
      </c>
      <c r="D53" s="12">
        <f t="shared" si="2"/>
        <v>4556508.22</v>
      </c>
      <c r="E53" s="1">
        <v>5</v>
      </c>
      <c r="F53" s="2">
        <v>0.3</v>
      </c>
      <c r="G53" s="2">
        <v>0.5</v>
      </c>
      <c r="H53" s="2">
        <v>0.7</v>
      </c>
      <c r="J53" s="4">
        <v>4556508.22</v>
      </c>
      <c r="K53" s="4"/>
      <c r="L53" s="4"/>
      <c r="M53" s="4"/>
      <c r="O53" s="14">
        <f t="shared" si="3"/>
        <v>204471.21999999974</v>
      </c>
      <c r="P53" s="15">
        <f t="shared" si="4"/>
        <v>4.6982877213589805E-2</v>
      </c>
      <c r="R53" s="12">
        <f t="shared" si="5"/>
        <v>4556508.22</v>
      </c>
      <c r="S53" s="12">
        <f t="shared" si="6"/>
        <v>1366952.4659999998</v>
      </c>
      <c r="T53" s="12">
        <f t="shared" si="7"/>
        <v>2278254.11</v>
      </c>
      <c r="U53" s="12">
        <f t="shared" si="8"/>
        <v>3189555.7539999997</v>
      </c>
      <c r="V53" s="17"/>
      <c r="W53" s="6" t="str">
        <f t="shared" si="9"/>
        <v>Yes</v>
      </c>
      <c r="AA53" s="6" t="str">
        <f t="shared" si="11"/>
        <v>Yes</v>
      </c>
      <c r="AE53" s="6" t="str">
        <f t="shared" si="13"/>
        <v>Yes</v>
      </c>
      <c r="AH53" s="17"/>
      <c r="AI53" s="6" t="s">
        <v>540</v>
      </c>
      <c r="AK53" s="6" t="s">
        <v>540</v>
      </c>
      <c r="AM53" s="6" t="s">
        <v>540</v>
      </c>
    </row>
    <row r="54" spans="1:39" x14ac:dyDescent="0.45">
      <c r="A54" s="1" t="s">
        <v>208</v>
      </c>
      <c r="B54" s="1" t="s">
        <v>209</v>
      </c>
      <c r="C54" s="12">
        <v>77087</v>
      </c>
      <c r="D54" s="12">
        <f t="shared" si="2"/>
        <v>86008.840000000011</v>
      </c>
      <c r="E54" s="1">
        <v>7</v>
      </c>
      <c r="F54" s="2">
        <v>0.1</v>
      </c>
      <c r="G54" s="2">
        <v>0.2</v>
      </c>
      <c r="H54" s="2">
        <v>0.3</v>
      </c>
      <c r="J54" s="4"/>
      <c r="K54" s="4"/>
      <c r="L54" s="4">
        <v>86008.840000000011</v>
      </c>
      <c r="M54" s="4"/>
      <c r="O54" s="14">
        <f t="shared" si="3"/>
        <v>8921.8400000000111</v>
      </c>
      <c r="P54" s="15">
        <f t="shared" si="4"/>
        <v>0.11573728384811981</v>
      </c>
      <c r="R54" s="12">
        <f t="shared" si="5"/>
        <v>86008.840000000011</v>
      </c>
      <c r="S54" s="12">
        <f t="shared" si="6"/>
        <v>8600.8840000000018</v>
      </c>
      <c r="T54" s="12">
        <f t="shared" si="7"/>
        <v>17201.768000000004</v>
      </c>
      <c r="U54" s="12">
        <f t="shared" si="8"/>
        <v>25802.652000000002</v>
      </c>
      <c r="V54" s="17"/>
      <c r="W54" s="6" t="str">
        <f t="shared" si="9"/>
        <v>No</v>
      </c>
      <c r="X54" s="6" t="str">
        <f t="shared" si="10"/>
        <v>Yes</v>
      </c>
      <c r="AA54" s="6" t="str">
        <f t="shared" si="11"/>
        <v>No</v>
      </c>
      <c r="AB54" s="6" t="str">
        <f t="shared" si="12"/>
        <v>Yes</v>
      </c>
      <c r="AE54" s="6" t="str">
        <f t="shared" si="13"/>
        <v>No</v>
      </c>
      <c r="AF54" s="6" t="str">
        <f t="shared" si="14"/>
        <v>Yes</v>
      </c>
      <c r="AH54" s="17"/>
      <c r="AI54" s="6" t="s">
        <v>525</v>
      </c>
      <c r="AK54" s="6" t="s">
        <v>525</v>
      </c>
      <c r="AM54" s="6" t="s">
        <v>525</v>
      </c>
    </row>
    <row r="55" spans="1:39" x14ac:dyDescent="0.45">
      <c r="A55" s="1" t="s">
        <v>211</v>
      </c>
      <c r="B55" s="1" t="s">
        <v>212</v>
      </c>
      <c r="C55" s="12">
        <v>64131</v>
      </c>
      <c r="D55" s="12">
        <f t="shared" si="2"/>
        <v>64928.779999999992</v>
      </c>
      <c r="E55" s="1">
        <v>7</v>
      </c>
      <c r="F55" s="2">
        <v>0.2</v>
      </c>
      <c r="G55" s="2">
        <v>0.35</v>
      </c>
      <c r="H55" s="2">
        <v>0.5</v>
      </c>
      <c r="J55" s="4"/>
      <c r="K55" s="4"/>
      <c r="L55" s="4">
        <v>64928.779999999992</v>
      </c>
      <c r="M55" s="4"/>
      <c r="O55" s="14">
        <f t="shared" si="3"/>
        <v>797.77999999999156</v>
      </c>
      <c r="P55" s="15">
        <f t="shared" si="4"/>
        <v>1.2439849682680632E-2</v>
      </c>
      <c r="R55" s="12">
        <f t="shared" si="5"/>
        <v>64928.779999999992</v>
      </c>
      <c r="S55" s="12">
        <f t="shared" si="6"/>
        <v>12985.755999999999</v>
      </c>
      <c r="T55" s="12">
        <f t="shared" si="7"/>
        <v>22725.072999999997</v>
      </c>
      <c r="U55" s="12">
        <f t="shared" si="8"/>
        <v>32464.389999999996</v>
      </c>
      <c r="V55" s="17"/>
      <c r="W55" s="6" t="str">
        <f t="shared" si="9"/>
        <v>No</v>
      </c>
      <c r="X55" s="6" t="str">
        <f t="shared" si="10"/>
        <v>Yes</v>
      </c>
      <c r="AA55" s="6" t="str">
        <f t="shared" si="11"/>
        <v>No</v>
      </c>
      <c r="AB55" s="6" t="str">
        <f t="shared" si="12"/>
        <v>Yes</v>
      </c>
      <c r="AE55" s="6" t="str">
        <f t="shared" si="13"/>
        <v>No</v>
      </c>
      <c r="AF55" s="6" t="str">
        <f t="shared" si="14"/>
        <v>Yes</v>
      </c>
      <c r="AH55" s="17"/>
      <c r="AI55" s="6" t="s">
        <v>525</v>
      </c>
      <c r="AK55" s="6" t="s">
        <v>525</v>
      </c>
      <c r="AM55" s="6" t="s">
        <v>525</v>
      </c>
    </row>
    <row r="56" spans="1:39" x14ac:dyDescent="0.45">
      <c r="A56" s="1" t="s">
        <v>214</v>
      </c>
      <c r="B56" s="1" t="s">
        <v>215</v>
      </c>
      <c r="C56" s="12">
        <v>48488</v>
      </c>
      <c r="D56" s="12">
        <f t="shared" si="2"/>
        <v>49819.24</v>
      </c>
      <c r="E56" s="1">
        <v>7</v>
      </c>
      <c r="F56" s="2">
        <v>0.15</v>
      </c>
      <c r="G56" s="2">
        <v>0.3</v>
      </c>
      <c r="H56" s="2">
        <v>0.4</v>
      </c>
      <c r="J56" s="4"/>
      <c r="K56" s="4"/>
      <c r="L56" s="4">
        <v>49819.24</v>
      </c>
      <c r="M56" s="4"/>
      <c r="O56" s="14">
        <f t="shared" si="3"/>
        <v>1331.239999999998</v>
      </c>
      <c r="P56" s="15">
        <f t="shared" si="4"/>
        <v>2.7455040422372505E-2</v>
      </c>
      <c r="R56" s="12">
        <f t="shared" si="5"/>
        <v>49819.24</v>
      </c>
      <c r="S56" s="12">
        <f t="shared" si="6"/>
        <v>7472.8859999999995</v>
      </c>
      <c r="T56" s="12">
        <f t="shared" si="7"/>
        <v>14945.771999999999</v>
      </c>
      <c r="U56" s="12">
        <f t="shared" si="8"/>
        <v>19927.696</v>
      </c>
      <c r="V56" s="17"/>
      <c r="W56" s="6" t="str">
        <f t="shared" si="9"/>
        <v>No</v>
      </c>
      <c r="X56" s="6" t="str">
        <f t="shared" si="10"/>
        <v>Yes</v>
      </c>
      <c r="AA56" s="6" t="str">
        <f t="shared" si="11"/>
        <v>No</v>
      </c>
      <c r="AB56" s="6" t="str">
        <f t="shared" si="12"/>
        <v>Yes</v>
      </c>
      <c r="AE56" s="6" t="str">
        <f t="shared" si="13"/>
        <v>No</v>
      </c>
      <c r="AF56" s="6" t="str">
        <f t="shared" si="14"/>
        <v>Yes</v>
      </c>
      <c r="AH56" s="17"/>
      <c r="AI56" s="6" t="s">
        <v>525</v>
      </c>
      <c r="AK56" s="6" t="s">
        <v>525</v>
      </c>
      <c r="AM56" s="6" t="s">
        <v>525</v>
      </c>
    </row>
    <row r="57" spans="1:39" x14ac:dyDescent="0.45">
      <c r="A57" s="1" t="s">
        <v>24</v>
      </c>
      <c r="B57" s="1" t="s">
        <v>25</v>
      </c>
      <c r="C57" s="12">
        <v>1452852</v>
      </c>
      <c r="D57" s="12">
        <f t="shared" si="2"/>
        <v>1573914.45</v>
      </c>
      <c r="E57" s="1">
        <v>5</v>
      </c>
      <c r="F57" s="2">
        <v>0.3</v>
      </c>
      <c r="G57" s="2">
        <v>0.5</v>
      </c>
      <c r="H57" s="2">
        <v>0.7</v>
      </c>
      <c r="J57" s="4"/>
      <c r="K57" s="4">
        <v>1289679.01</v>
      </c>
      <c r="L57" s="4">
        <v>284235.44</v>
      </c>
      <c r="M57" s="4"/>
      <c r="O57" s="14">
        <f t="shared" si="3"/>
        <v>121062.44999999995</v>
      </c>
      <c r="P57" s="15">
        <f t="shared" si="4"/>
        <v>8.3327448356749309E-2</v>
      </c>
      <c r="R57" s="12">
        <f t="shared" si="5"/>
        <v>1573914.45</v>
      </c>
      <c r="S57" s="12">
        <f t="shared" si="6"/>
        <v>472174.33499999996</v>
      </c>
      <c r="T57" s="12">
        <f t="shared" si="7"/>
        <v>786957.22499999998</v>
      </c>
      <c r="U57" s="12">
        <f t="shared" si="8"/>
        <v>1101740.115</v>
      </c>
      <c r="V57" s="17"/>
      <c r="W57" s="6" t="str">
        <f t="shared" si="9"/>
        <v>Yes</v>
      </c>
      <c r="AA57" s="6" t="str">
        <f t="shared" si="11"/>
        <v>Yes</v>
      </c>
      <c r="AE57" s="6" t="str">
        <f t="shared" si="13"/>
        <v>Yes</v>
      </c>
      <c r="AH57" s="17"/>
      <c r="AI57" s="6" t="s">
        <v>540</v>
      </c>
      <c r="AK57" s="6" t="s">
        <v>540</v>
      </c>
      <c r="AM57" s="6" t="s">
        <v>540</v>
      </c>
    </row>
    <row r="58" spans="1:39" x14ac:dyDescent="0.45">
      <c r="A58" s="1" t="s">
        <v>217</v>
      </c>
      <c r="B58" s="1" t="s">
        <v>218</v>
      </c>
      <c r="C58" s="12">
        <v>82200</v>
      </c>
      <c r="D58" s="12">
        <f t="shared" si="2"/>
        <v>84474.55</v>
      </c>
      <c r="E58" s="1">
        <v>7</v>
      </c>
      <c r="F58" s="2">
        <v>0.2</v>
      </c>
      <c r="G58" s="2">
        <v>0.35</v>
      </c>
      <c r="H58" s="2">
        <v>0.5</v>
      </c>
      <c r="J58" s="4"/>
      <c r="K58" s="4"/>
      <c r="L58" s="4">
        <v>84474.55</v>
      </c>
      <c r="M58" s="4"/>
      <c r="O58" s="14">
        <f t="shared" si="3"/>
        <v>2274.5500000000029</v>
      </c>
      <c r="P58" s="15">
        <f t="shared" si="4"/>
        <v>2.767092457420928E-2</v>
      </c>
      <c r="R58" s="12">
        <f t="shared" si="5"/>
        <v>84474.55</v>
      </c>
      <c r="S58" s="12">
        <f t="shared" si="6"/>
        <v>16894.91</v>
      </c>
      <c r="T58" s="12">
        <f t="shared" si="7"/>
        <v>29566.092499999999</v>
      </c>
      <c r="U58" s="12">
        <f t="shared" si="8"/>
        <v>42237.275000000001</v>
      </c>
      <c r="V58" s="17"/>
      <c r="W58" s="6" t="str">
        <f t="shared" si="9"/>
        <v>No</v>
      </c>
      <c r="X58" s="6" t="str">
        <f t="shared" si="10"/>
        <v>Yes</v>
      </c>
      <c r="AA58" s="6" t="str">
        <f t="shared" si="11"/>
        <v>No</v>
      </c>
      <c r="AB58" s="6" t="str">
        <f t="shared" si="12"/>
        <v>Yes</v>
      </c>
      <c r="AE58" s="6" t="str">
        <f t="shared" si="13"/>
        <v>No</v>
      </c>
      <c r="AF58" s="6" t="str">
        <f t="shared" si="14"/>
        <v>Yes</v>
      </c>
      <c r="AH58" s="17"/>
      <c r="AI58" s="6" t="s">
        <v>525</v>
      </c>
      <c r="AK58" s="6" t="s">
        <v>525</v>
      </c>
      <c r="AM58" s="6" t="s">
        <v>525</v>
      </c>
    </row>
    <row r="59" spans="1:39" x14ac:dyDescent="0.45">
      <c r="A59" s="1" t="s">
        <v>220</v>
      </c>
      <c r="B59" s="1" t="s">
        <v>221</v>
      </c>
      <c r="C59" s="12">
        <v>31367</v>
      </c>
      <c r="D59" s="12">
        <f t="shared" si="2"/>
        <v>33417.86</v>
      </c>
      <c r="E59" s="1">
        <v>7</v>
      </c>
      <c r="F59" s="2">
        <v>0.2</v>
      </c>
      <c r="G59" s="2">
        <v>0.35</v>
      </c>
      <c r="H59" s="2">
        <v>0.5</v>
      </c>
      <c r="J59" s="4"/>
      <c r="K59" s="4"/>
      <c r="L59" s="4">
        <v>33417.86</v>
      </c>
      <c r="M59" s="4"/>
      <c r="O59" s="14">
        <f t="shared" si="3"/>
        <v>2050.8600000000006</v>
      </c>
      <c r="P59" s="15">
        <f t="shared" si="4"/>
        <v>6.5382727069850502E-2</v>
      </c>
      <c r="R59" s="12">
        <f t="shared" si="5"/>
        <v>33417.86</v>
      </c>
      <c r="S59" s="12">
        <f t="shared" si="6"/>
        <v>6683.5720000000001</v>
      </c>
      <c r="T59" s="12">
        <f t="shared" si="7"/>
        <v>11696.251</v>
      </c>
      <c r="U59" s="12">
        <f t="shared" si="8"/>
        <v>16708.93</v>
      </c>
      <c r="V59" s="17"/>
      <c r="W59" s="6" t="str">
        <f t="shared" si="9"/>
        <v>No</v>
      </c>
      <c r="X59" s="6" t="str">
        <f t="shared" si="10"/>
        <v>Yes</v>
      </c>
      <c r="AA59" s="6" t="str">
        <f t="shared" si="11"/>
        <v>No</v>
      </c>
      <c r="AB59" s="6" t="str">
        <f t="shared" si="12"/>
        <v>Yes</v>
      </c>
      <c r="AE59" s="6" t="str">
        <f t="shared" si="13"/>
        <v>No</v>
      </c>
      <c r="AF59" s="6" t="str">
        <f t="shared" si="14"/>
        <v>Yes</v>
      </c>
      <c r="AH59" s="17"/>
      <c r="AI59" s="6" t="s">
        <v>525</v>
      </c>
      <c r="AK59" s="6" t="s">
        <v>525</v>
      </c>
      <c r="AM59" s="6" t="s">
        <v>525</v>
      </c>
    </row>
    <row r="60" spans="1:39" x14ac:dyDescent="0.45">
      <c r="A60" s="1" t="s">
        <v>223</v>
      </c>
      <c r="B60" s="1" t="s">
        <v>224</v>
      </c>
      <c r="C60" s="12">
        <v>43108</v>
      </c>
      <c r="D60" s="12">
        <f t="shared" si="2"/>
        <v>43178.87</v>
      </c>
      <c r="E60" s="1">
        <v>7</v>
      </c>
      <c r="F60" s="2">
        <v>0.2</v>
      </c>
      <c r="G60" s="2">
        <v>0.35</v>
      </c>
      <c r="H60" s="2">
        <v>0.5</v>
      </c>
      <c r="J60" s="4"/>
      <c r="K60" s="4"/>
      <c r="L60" s="4">
        <v>43178.87</v>
      </c>
      <c r="M60" s="4"/>
      <c r="O60" s="14">
        <f t="shared" si="3"/>
        <v>70.870000000002619</v>
      </c>
      <c r="P60" s="15">
        <f t="shared" si="4"/>
        <v>1.6440103925026124E-3</v>
      </c>
      <c r="R60" s="12">
        <f t="shared" si="5"/>
        <v>43178.87</v>
      </c>
      <c r="S60" s="12">
        <f t="shared" si="6"/>
        <v>8635.7740000000013</v>
      </c>
      <c r="T60" s="12">
        <f t="shared" si="7"/>
        <v>15112.604499999999</v>
      </c>
      <c r="U60" s="12">
        <f t="shared" si="8"/>
        <v>21589.435000000001</v>
      </c>
      <c r="V60" s="17"/>
      <c r="W60" s="6" t="str">
        <f t="shared" si="9"/>
        <v>No</v>
      </c>
      <c r="X60" s="6" t="str">
        <f t="shared" si="10"/>
        <v>Yes</v>
      </c>
      <c r="AA60" s="6" t="str">
        <f t="shared" si="11"/>
        <v>No</v>
      </c>
      <c r="AB60" s="6" t="str">
        <f t="shared" si="12"/>
        <v>Yes</v>
      </c>
      <c r="AE60" s="6" t="str">
        <f t="shared" si="13"/>
        <v>No</v>
      </c>
      <c r="AF60" s="6" t="str">
        <f t="shared" si="14"/>
        <v>Yes</v>
      </c>
      <c r="AH60" s="17"/>
      <c r="AI60" s="6" t="s">
        <v>525</v>
      </c>
      <c r="AK60" s="6" t="s">
        <v>525</v>
      </c>
      <c r="AM60" s="6" t="s">
        <v>525</v>
      </c>
    </row>
    <row r="61" spans="1:39" x14ac:dyDescent="0.45">
      <c r="A61" s="1" t="s">
        <v>226</v>
      </c>
      <c r="B61" s="1" t="s">
        <v>227</v>
      </c>
      <c r="C61" s="12">
        <v>16023</v>
      </c>
      <c r="D61" s="12">
        <f t="shared" si="2"/>
        <v>16177.18</v>
      </c>
      <c r="E61" s="1">
        <v>7</v>
      </c>
      <c r="F61" s="2">
        <v>0.15</v>
      </c>
      <c r="G61" s="2">
        <v>0.3</v>
      </c>
      <c r="H61" s="2">
        <v>0.4</v>
      </c>
      <c r="J61" s="4"/>
      <c r="K61" s="4"/>
      <c r="L61" s="4">
        <v>16177.18</v>
      </c>
      <c r="M61" s="4"/>
      <c r="O61" s="14">
        <f t="shared" si="3"/>
        <v>154.18000000000029</v>
      </c>
      <c r="P61" s="15">
        <f t="shared" si="4"/>
        <v>9.6224177744492472E-3</v>
      </c>
      <c r="R61" s="12">
        <f t="shared" si="5"/>
        <v>16177.18</v>
      </c>
      <c r="S61" s="12">
        <f t="shared" si="6"/>
        <v>2426.5769999999998</v>
      </c>
      <c r="T61" s="12">
        <f t="shared" si="7"/>
        <v>4853.1539999999995</v>
      </c>
      <c r="U61" s="12">
        <f t="shared" si="8"/>
        <v>6470.8720000000003</v>
      </c>
      <c r="V61" s="17"/>
      <c r="W61" s="6" t="str">
        <f t="shared" si="9"/>
        <v>No</v>
      </c>
      <c r="X61" s="6" t="str">
        <f t="shared" si="10"/>
        <v>Yes</v>
      </c>
      <c r="AA61" s="6" t="str">
        <f t="shared" si="11"/>
        <v>No</v>
      </c>
      <c r="AB61" s="6" t="str">
        <f t="shared" si="12"/>
        <v>Yes</v>
      </c>
      <c r="AE61" s="6" t="str">
        <f t="shared" si="13"/>
        <v>No</v>
      </c>
      <c r="AF61" s="6" t="str">
        <f t="shared" si="14"/>
        <v>Yes</v>
      </c>
      <c r="AH61" s="17"/>
      <c r="AI61" s="6" t="s">
        <v>525</v>
      </c>
      <c r="AK61" s="6" t="s">
        <v>525</v>
      </c>
      <c r="AM61" s="6" t="s">
        <v>525</v>
      </c>
    </row>
    <row r="62" spans="1:39" x14ac:dyDescent="0.45">
      <c r="A62" s="1" t="s">
        <v>229</v>
      </c>
      <c r="B62" s="1" t="s">
        <v>230</v>
      </c>
      <c r="C62" s="12">
        <v>19349</v>
      </c>
      <c r="D62" s="12">
        <f t="shared" si="2"/>
        <v>19267.38</v>
      </c>
      <c r="E62" s="1">
        <v>7</v>
      </c>
      <c r="F62" s="2">
        <v>0.15</v>
      </c>
      <c r="G62" s="2">
        <v>0.3</v>
      </c>
      <c r="H62" s="2">
        <v>0.4</v>
      </c>
      <c r="J62" s="4"/>
      <c r="K62" s="4"/>
      <c r="L62" s="4">
        <v>19267.38</v>
      </c>
      <c r="M62" s="4"/>
      <c r="O62" s="14">
        <f t="shared" si="3"/>
        <v>-81.619999999998981</v>
      </c>
      <c r="P62" s="15">
        <f t="shared" si="4"/>
        <v>-4.2183058555997199E-3</v>
      </c>
      <c r="R62" s="12">
        <f t="shared" si="5"/>
        <v>19267.38</v>
      </c>
      <c r="S62" s="12">
        <f t="shared" si="6"/>
        <v>2890.107</v>
      </c>
      <c r="T62" s="12">
        <f t="shared" si="7"/>
        <v>5780.2139999999999</v>
      </c>
      <c r="U62" s="12">
        <f t="shared" si="8"/>
        <v>7706.9520000000011</v>
      </c>
      <c r="V62" s="17"/>
      <c r="W62" s="6" t="str">
        <f t="shared" si="9"/>
        <v>No</v>
      </c>
      <c r="X62" s="6" t="str">
        <f t="shared" si="10"/>
        <v>Yes</v>
      </c>
      <c r="AA62" s="6" t="str">
        <f t="shared" si="11"/>
        <v>No</v>
      </c>
      <c r="AB62" s="6" t="str">
        <f t="shared" si="12"/>
        <v>Yes</v>
      </c>
      <c r="AE62" s="6" t="str">
        <f t="shared" si="13"/>
        <v>No</v>
      </c>
      <c r="AF62" s="6" t="str">
        <f t="shared" si="14"/>
        <v>Yes</v>
      </c>
      <c r="AH62" s="17"/>
      <c r="AI62" s="6" t="s">
        <v>525</v>
      </c>
      <c r="AK62" s="6" t="s">
        <v>525</v>
      </c>
      <c r="AM62" s="6" t="s">
        <v>525</v>
      </c>
    </row>
    <row r="63" spans="1:39" x14ac:dyDescent="0.45">
      <c r="A63" s="1" t="s">
        <v>232</v>
      </c>
      <c r="B63" s="1" t="s">
        <v>233</v>
      </c>
      <c r="C63" s="12">
        <v>25096</v>
      </c>
      <c r="D63" s="12">
        <f t="shared" si="2"/>
        <v>25208.73</v>
      </c>
      <c r="E63" s="1">
        <v>7</v>
      </c>
      <c r="F63" s="2">
        <v>0.15</v>
      </c>
      <c r="G63" s="2">
        <v>0.3</v>
      </c>
      <c r="H63" s="2">
        <v>0.4</v>
      </c>
      <c r="J63" s="4"/>
      <c r="K63" s="4"/>
      <c r="L63" s="4">
        <v>25208.73</v>
      </c>
      <c r="M63" s="4"/>
      <c r="O63" s="14">
        <f t="shared" si="3"/>
        <v>112.72999999999956</v>
      </c>
      <c r="P63" s="15">
        <f t="shared" si="4"/>
        <v>4.4919509085112989E-3</v>
      </c>
      <c r="R63" s="12">
        <f t="shared" si="5"/>
        <v>25208.73</v>
      </c>
      <c r="S63" s="12">
        <f t="shared" si="6"/>
        <v>3781.3094999999998</v>
      </c>
      <c r="T63" s="12">
        <f t="shared" si="7"/>
        <v>7562.6189999999997</v>
      </c>
      <c r="U63" s="12">
        <f t="shared" si="8"/>
        <v>10083.492</v>
      </c>
      <c r="V63" s="17"/>
      <c r="W63" s="6" t="str">
        <f t="shared" si="9"/>
        <v>No</v>
      </c>
      <c r="X63" s="6" t="str">
        <f t="shared" si="10"/>
        <v>Yes</v>
      </c>
      <c r="AA63" s="6" t="str">
        <f t="shared" si="11"/>
        <v>No</v>
      </c>
      <c r="AB63" s="6" t="str">
        <f t="shared" si="12"/>
        <v>Yes</v>
      </c>
      <c r="AE63" s="6" t="str">
        <f t="shared" si="13"/>
        <v>No</v>
      </c>
      <c r="AF63" s="6" t="str">
        <f t="shared" si="14"/>
        <v>Yes</v>
      </c>
      <c r="AH63" s="17"/>
      <c r="AI63" s="6" t="s">
        <v>525</v>
      </c>
      <c r="AK63" s="6" t="s">
        <v>525</v>
      </c>
      <c r="AM63" s="6" t="s">
        <v>525</v>
      </c>
    </row>
    <row r="64" spans="1:39" x14ac:dyDescent="0.45">
      <c r="A64" s="1" t="s">
        <v>235</v>
      </c>
      <c r="B64" s="1" t="s">
        <v>236</v>
      </c>
      <c r="C64" s="12">
        <v>44619</v>
      </c>
      <c r="D64" s="12">
        <f t="shared" si="2"/>
        <v>44812.659999999996</v>
      </c>
      <c r="E64" s="1">
        <v>7</v>
      </c>
      <c r="F64" s="2">
        <v>0.2</v>
      </c>
      <c r="G64" s="2">
        <v>0.35</v>
      </c>
      <c r="H64" s="2">
        <v>0.5</v>
      </c>
      <c r="J64" s="4"/>
      <c r="K64" s="4"/>
      <c r="L64" s="4">
        <v>44812.659999999996</v>
      </c>
      <c r="M64" s="4"/>
      <c r="O64" s="14">
        <f t="shared" si="3"/>
        <v>193.65999999999622</v>
      </c>
      <c r="P64" s="15">
        <f t="shared" si="4"/>
        <v>4.3403034581679604E-3</v>
      </c>
      <c r="R64" s="12">
        <f t="shared" si="5"/>
        <v>44812.659999999996</v>
      </c>
      <c r="S64" s="12">
        <f t="shared" si="6"/>
        <v>8962.5319999999992</v>
      </c>
      <c r="T64" s="12">
        <f t="shared" si="7"/>
        <v>15684.430999999997</v>
      </c>
      <c r="U64" s="12">
        <f t="shared" si="8"/>
        <v>22406.329999999998</v>
      </c>
      <c r="V64" s="17"/>
      <c r="W64" s="6" t="str">
        <f t="shared" si="9"/>
        <v>No</v>
      </c>
      <c r="X64" s="6" t="str">
        <f t="shared" si="10"/>
        <v>Yes</v>
      </c>
      <c r="AA64" s="6" t="str">
        <f t="shared" si="11"/>
        <v>No</v>
      </c>
      <c r="AB64" s="6" t="str">
        <f t="shared" si="12"/>
        <v>Yes</v>
      </c>
      <c r="AE64" s="6" t="str">
        <f t="shared" si="13"/>
        <v>No</v>
      </c>
      <c r="AF64" s="6" t="str">
        <f t="shared" si="14"/>
        <v>Yes</v>
      </c>
      <c r="AH64" s="17"/>
      <c r="AI64" s="6" t="s">
        <v>525</v>
      </c>
      <c r="AK64" s="6" t="s">
        <v>525</v>
      </c>
      <c r="AM64" s="6" t="s">
        <v>525</v>
      </c>
    </row>
    <row r="65" spans="1:45" x14ac:dyDescent="0.45">
      <c r="A65" s="1" t="s">
        <v>238</v>
      </c>
      <c r="B65" s="1" t="s">
        <v>239</v>
      </c>
      <c r="C65" s="12">
        <v>58438</v>
      </c>
      <c r="D65" s="12">
        <f t="shared" si="2"/>
        <v>57610.559999999998</v>
      </c>
      <c r="E65" s="1">
        <v>7</v>
      </c>
      <c r="F65" s="2">
        <v>0.1</v>
      </c>
      <c r="G65" s="2">
        <v>0.2</v>
      </c>
      <c r="H65" s="2">
        <v>0.3</v>
      </c>
      <c r="J65" s="4"/>
      <c r="K65" s="4"/>
      <c r="L65" s="4">
        <v>57610.559999999998</v>
      </c>
      <c r="M65" s="4"/>
      <c r="O65" s="14">
        <f t="shared" si="3"/>
        <v>-827.44000000000233</v>
      </c>
      <c r="P65" s="15">
        <f t="shared" si="4"/>
        <v>-1.4159279920599649E-2</v>
      </c>
      <c r="R65" s="12">
        <f t="shared" si="5"/>
        <v>57610.559999999998</v>
      </c>
      <c r="S65" s="12">
        <f t="shared" si="6"/>
        <v>5761.0560000000005</v>
      </c>
      <c r="T65" s="12">
        <f t="shared" si="7"/>
        <v>11522.112000000001</v>
      </c>
      <c r="U65" s="12">
        <f t="shared" si="8"/>
        <v>17283.167999999998</v>
      </c>
      <c r="V65" s="17"/>
      <c r="W65" s="6" t="str">
        <f t="shared" si="9"/>
        <v>No</v>
      </c>
      <c r="X65" s="6" t="str">
        <f t="shared" si="10"/>
        <v>Yes</v>
      </c>
      <c r="AA65" s="6" t="str">
        <f t="shared" si="11"/>
        <v>No</v>
      </c>
      <c r="AB65" s="6" t="str">
        <f t="shared" si="12"/>
        <v>Yes</v>
      </c>
      <c r="AE65" s="6" t="str">
        <f t="shared" si="13"/>
        <v>No</v>
      </c>
      <c r="AF65" s="6" t="str">
        <f t="shared" si="14"/>
        <v>Yes</v>
      </c>
      <c r="AH65" s="17"/>
      <c r="AI65" s="6" t="s">
        <v>525</v>
      </c>
      <c r="AK65" s="6" t="s">
        <v>525</v>
      </c>
      <c r="AM65" s="6" t="s">
        <v>525</v>
      </c>
    </row>
    <row r="66" spans="1:45" x14ac:dyDescent="0.45">
      <c r="A66" s="1" t="s">
        <v>241</v>
      </c>
      <c r="B66" s="1" t="s">
        <v>242</v>
      </c>
      <c r="C66" s="12">
        <v>43675</v>
      </c>
      <c r="D66" s="12">
        <f t="shared" si="2"/>
        <v>42043.67</v>
      </c>
      <c r="E66" s="1">
        <v>7</v>
      </c>
      <c r="F66" s="2">
        <v>0.2</v>
      </c>
      <c r="G66" s="2">
        <v>0.35</v>
      </c>
      <c r="H66" s="2">
        <v>0.5</v>
      </c>
      <c r="J66" s="4"/>
      <c r="K66" s="4"/>
      <c r="L66" s="4">
        <v>42043.67</v>
      </c>
      <c r="M66" s="4"/>
      <c r="O66" s="14">
        <f t="shared" si="3"/>
        <v>-1631.3300000000017</v>
      </c>
      <c r="P66" s="15">
        <f t="shared" si="4"/>
        <v>-3.7351574127075023E-2</v>
      </c>
      <c r="R66" s="12">
        <f t="shared" si="5"/>
        <v>42043.67</v>
      </c>
      <c r="S66" s="12">
        <f t="shared" si="6"/>
        <v>8408.7340000000004</v>
      </c>
      <c r="T66" s="12">
        <f t="shared" si="7"/>
        <v>14715.284499999998</v>
      </c>
      <c r="U66" s="12">
        <f t="shared" si="8"/>
        <v>21021.834999999999</v>
      </c>
      <c r="V66" s="17"/>
      <c r="W66" s="6" t="str">
        <f t="shared" si="9"/>
        <v>No</v>
      </c>
      <c r="X66" s="6" t="str">
        <f t="shared" si="10"/>
        <v>Yes</v>
      </c>
      <c r="AA66" s="6" t="str">
        <f t="shared" si="11"/>
        <v>No</v>
      </c>
      <c r="AB66" s="6" t="str">
        <f t="shared" si="12"/>
        <v>Yes</v>
      </c>
      <c r="AE66" s="6" t="str">
        <f t="shared" si="13"/>
        <v>No</v>
      </c>
      <c r="AF66" s="6" t="str">
        <f t="shared" si="14"/>
        <v>Yes</v>
      </c>
      <c r="AH66" s="17"/>
      <c r="AI66" s="6" t="s">
        <v>525</v>
      </c>
      <c r="AK66" s="6" t="s">
        <v>525</v>
      </c>
      <c r="AM66" s="6" t="s">
        <v>525</v>
      </c>
    </row>
    <row r="67" spans="1:45" x14ac:dyDescent="0.45">
      <c r="A67" s="1" t="s">
        <v>244</v>
      </c>
      <c r="B67" s="1" t="s">
        <v>245</v>
      </c>
      <c r="C67" s="12">
        <v>46983</v>
      </c>
      <c r="D67" s="12">
        <f t="shared" si="2"/>
        <v>44496.33</v>
      </c>
      <c r="E67" s="1">
        <v>7</v>
      </c>
      <c r="F67" s="2">
        <v>0.2</v>
      </c>
      <c r="G67" s="2">
        <v>0.35</v>
      </c>
      <c r="H67" s="2">
        <v>0.5</v>
      </c>
      <c r="J67" s="4"/>
      <c r="K67" s="4"/>
      <c r="L67" s="4">
        <v>44496.33</v>
      </c>
      <c r="M67" s="4"/>
      <c r="O67" s="14">
        <f t="shared" si="3"/>
        <v>-2486.6699999999983</v>
      </c>
      <c r="P67" s="15">
        <f t="shared" si="4"/>
        <v>-5.2927016154779349E-2</v>
      </c>
      <c r="R67" s="12">
        <f t="shared" si="5"/>
        <v>44496.33</v>
      </c>
      <c r="S67" s="12">
        <f t="shared" si="6"/>
        <v>8899.2660000000014</v>
      </c>
      <c r="T67" s="12">
        <f t="shared" si="7"/>
        <v>15573.7155</v>
      </c>
      <c r="U67" s="12">
        <f t="shared" si="8"/>
        <v>22248.165000000001</v>
      </c>
      <c r="V67" s="17"/>
      <c r="W67" s="6" t="str">
        <f t="shared" si="9"/>
        <v>No</v>
      </c>
      <c r="X67" s="6" t="str">
        <f t="shared" si="10"/>
        <v>Yes</v>
      </c>
      <c r="AA67" s="6" t="str">
        <f t="shared" si="11"/>
        <v>No</v>
      </c>
      <c r="AB67" s="6" t="str">
        <f t="shared" si="12"/>
        <v>Yes</v>
      </c>
      <c r="AE67" s="6" t="str">
        <f t="shared" si="13"/>
        <v>No</v>
      </c>
      <c r="AF67" s="6" t="str">
        <f t="shared" si="14"/>
        <v>Yes</v>
      </c>
      <c r="AH67" s="17"/>
      <c r="AI67" s="6" t="s">
        <v>525</v>
      </c>
      <c r="AK67" s="6" t="s">
        <v>525</v>
      </c>
      <c r="AM67" s="6" t="s">
        <v>525</v>
      </c>
    </row>
    <row r="68" spans="1:45" x14ac:dyDescent="0.45">
      <c r="A68" s="1" t="s">
        <v>247</v>
      </c>
      <c r="B68" s="1" t="s">
        <v>248</v>
      </c>
      <c r="C68" s="12">
        <v>45730</v>
      </c>
      <c r="D68" s="12">
        <f t="shared" ref="D68:D131" si="17">SUM(J68:M68)</f>
        <v>47489.790000000008</v>
      </c>
      <c r="E68" s="1">
        <v>7</v>
      </c>
      <c r="F68" s="2">
        <v>0.05</v>
      </c>
      <c r="G68" s="2">
        <v>0.1</v>
      </c>
      <c r="H68" s="2">
        <v>0.2</v>
      </c>
      <c r="J68" s="4"/>
      <c r="K68" s="4"/>
      <c r="L68" s="4"/>
      <c r="M68" s="4">
        <v>47489.790000000008</v>
      </c>
      <c r="O68" s="14">
        <f t="shared" ref="O68:O131" si="18">J68+K68+L68+M68-C68</f>
        <v>1759.7900000000081</v>
      </c>
      <c r="P68" s="15">
        <f t="shared" ref="P68:P131" si="19">((M68+L68+K68+J68)-C68)/C68</f>
        <v>3.8482178001312227E-2</v>
      </c>
      <c r="R68" s="12">
        <f t="shared" ref="R68:R131" si="20">SUM(J68:M68)</f>
        <v>47489.790000000008</v>
      </c>
      <c r="S68" s="12">
        <f t="shared" ref="S68:S131" si="21">$D68*(F68)</f>
        <v>2374.4895000000006</v>
      </c>
      <c r="T68" s="12">
        <f t="shared" ref="T68:T131" si="22">$D68*(G68)</f>
        <v>4748.9790000000012</v>
      </c>
      <c r="U68" s="12">
        <f t="shared" ref="U68:U131" si="23">$D68*(H68)</f>
        <v>9497.9580000000024</v>
      </c>
      <c r="V68" s="17"/>
      <c r="W68" s="6" t="str">
        <f t="shared" ref="W68:W131" si="24">IF((J68+K68)&gt;S68,"Yes","No")</f>
        <v>No</v>
      </c>
      <c r="X68" s="6" t="str">
        <f t="shared" ref="X68:X128" si="25">IF((L68)&gt;S68,"Yes","No")</f>
        <v>No</v>
      </c>
      <c r="Y68" s="6" t="s">
        <v>538</v>
      </c>
      <c r="AA68" s="6" t="str">
        <f t="shared" ref="AA68:AA131" si="26">IF((J68+K68)&gt;T68,"Yes","No")</f>
        <v>No</v>
      </c>
      <c r="AB68" s="6" t="str">
        <f t="shared" ref="AB68:AB130" si="27">IF((L68)&gt;T68,"Yes","No")</f>
        <v>No</v>
      </c>
      <c r="AC68" s="6" t="str">
        <f t="shared" ref="AC68:AC120" si="28">IF((M68)&gt;U68,"Yes","No")</f>
        <v>Yes</v>
      </c>
      <c r="AE68" s="6" t="str">
        <f t="shared" ref="AE68:AE131" si="29">IF((J68+K68)&gt;U68,"Yes","No")</f>
        <v>No</v>
      </c>
      <c r="AF68" s="6" t="str">
        <f t="shared" ref="AF68:AF130" si="30">IF((L68)&gt;U68,"Yes","No")</f>
        <v>No</v>
      </c>
      <c r="AG68" s="6" t="str">
        <f t="shared" ref="AG68:AG120" si="31">IF((M68)&gt;U68,"Yes","No")</f>
        <v>Yes</v>
      </c>
      <c r="AH68" s="17"/>
      <c r="AI68" s="6" t="s">
        <v>526</v>
      </c>
      <c r="AK68" s="6" t="s">
        <v>526</v>
      </c>
      <c r="AM68" s="6" t="s">
        <v>526</v>
      </c>
    </row>
    <row r="69" spans="1:45" x14ac:dyDescent="0.45">
      <c r="A69" s="1" t="s">
        <v>250</v>
      </c>
      <c r="B69" s="1" t="s">
        <v>251</v>
      </c>
      <c r="C69" s="12">
        <v>69729</v>
      </c>
      <c r="D69" s="12">
        <f t="shared" si="17"/>
        <v>69652.3</v>
      </c>
      <c r="E69" s="1">
        <v>7</v>
      </c>
      <c r="F69" s="2">
        <v>0.3</v>
      </c>
      <c r="G69" s="2">
        <v>0.5</v>
      </c>
      <c r="H69" s="2">
        <v>0.7</v>
      </c>
      <c r="J69" s="4"/>
      <c r="K69" s="4">
        <v>59044.42</v>
      </c>
      <c r="L69" s="4">
        <v>10607.88</v>
      </c>
      <c r="M69" s="4"/>
      <c r="O69" s="14">
        <f t="shared" si="18"/>
        <v>-76.69999999999709</v>
      </c>
      <c r="P69" s="15">
        <f t="shared" si="19"/>
        <v>-1.0999727516527856E-3</v>
      </c>
      <c r="R69" s="12">
        <f t="shared" si="20"/>
        <v>69652.3</v>
      </c>
      <c r="S69" s="12">
        <f t="shared" si="21"/>
        <v>20895.689999999999</v>
      </c>
      <c r="T69" s="12">
        <f t="shared" si="22"/>
        <v>34826.15</v>
      </c>
      <c r="U69" s="12">
        <f t="shared" si="23"/>
        <v>48756.61</v>
      </c>
      <c r="V69" s="17"/>
      <c r="W69" s="6" t="str">
        <f t="shared" si="24"/>
        <v>Yes</v>
      </c>
      <c r="AA69" s="6" t="str">
        <f t="shared" si="26"/>
        <v>Yes</v>
      </c>
      <c r="AE69" s="6" t="str">
        <f t="shared" si="29"/>
        <v>Yes</v>
      </c>
      <c r="AH69" s="17"/>
      <c r="AI69" s="6" t="s">
        <v>540</v>
      </c>
      <c r="AK69" s="6" t="s">
        <v>540</v>
      </c>
      <c r="AM69" s="6" t="s">
        <v>540</v>
      </c>
    </row>
    <row r="70" spans="1:45" x14ac:dyDescent="0.45">
      <c r="A70" s="1" t="s">
        <v>253</v>
      </c>
      <c r="B70" s="1" t="s">
        <v>254</v>
      </c>
      <c r="C70" s="12">
        <v>70563</v>
      </c>
      <c r="D70" s="12">
        <f t="shared" si="17"/>
        <v>71755.31</v>
      </c>
      <c r="E70" s="1">
        <v>7</v>
      </c>
      <c r="F70" s="2">
        <v>0.2</v>
      </c>
      <c r="G70" s="2">
        <v>0.35</v>
      </c>
      <c r="H70" s="2">
        <v>0.5</v>
      </c>
      <c r="J70" s="4"/>
      <c r="K70" s="4"/>
      <c r="L70" s="4">
        <v>71755.31</v>
      </c>
      <c r="M70" s="4"/>
      <c r="O70" s="14">
        <f t="shared" si="18"/>
        <v>1192.3099999999977</v>
      </c>
      <c r="P70" s="15">
        <f t="shared" si="19"/>
        <v>1.6897099046242332E-2</v>
      </c>
      <c r="R70" s="12">
        <f t="shared" si="20"/>
        <v>71755.31</v>
      </c>
      <c r="S70" s="12">
        <f t="shared" si="21"/>
        <v>14351.062</v>
      </c>
      <c r="T70" s="12">
        <f t="shared" si="22"/>
        <v>25114.358499999998</v>
      </c>
      <c r="U70" s="12">
        <f t="shared" si="23"/>
        <v>35877.654999999999</v>
      </c>
      <c r="V70" s="17"/>
      <c r="W70" s="6" t="str">
        <f t="shared" si="24"/>
        <v>No</v>
      </c>
      <c r="X70" s="6" t="str">
        <f t="shared" si="25"/>
        <v>Yes</v>
      </c>
      <c r="AA70" s="6" t="str">
        <f t="shared" si="26"/>
        <v>No</v>
      </c>
      <c r="AB70" s="6" t="str">
        <f t="shared" si="27"/>
        <v>Yes</v>
      </c>
      <c r="AE70" s="6" t="str">
        <f t="shared" si="29"/>
        <v>No</v>
      </c>
      <c r="AF70" s="6" t="str">
        <f t="shared" si="30"/>
        <v>Yes</v>
      </c>
      <c r="AH70" s="17"/>
      <c r="AI70" s="6" t="s">
        <v>525</v>
      </c>
      <c r="AK70" s="6" t="s">
        <v>525</v>
      </c>
      <c r="AM70" s="6" t="s">
        <v>525</v>
      </c>
    </row>
    <row r="71" spans="1:45" x14ac:dyDescent="0.45">
      <c r="A71" s="1" t="s">
        <v>256</v>
      </c>
      <c r="B71" s="1" t="s">
        <v>257</v>
      </c>
      <c r="C71" s="12">
        <v>13150</v>
      </c>
      <c r="D71" s="12">
        <f t="shared" si="17"/>
        <v>13596.39</v>
      </c>
      <c r="E71" s="1">
        <v>7</v>
      </c>
      <c r="F71" s="2">
        <v>0.2</v>
      </c>
      <c r="G71" s="2">
        <v>0.35</v>
      </c>
      <c r="H71" s="2">
        <v>0.5</v>
      </c>
      <c r="J71" s="4"/>
      <c r="K71" s="4"/>
      <c r="L71" s="4">
        <v>13596.39</v>
      </c>
      <c r="M71" s="4"/>
      <c r="O71" s="14">
        <f t="shared" si="18"/>
        <v>446.38999999999942</v>
      </c>
      <c r="P71" s="15">
        <f t="shared" si="19"/>
        <v>3.3946007604562692E-2</v>
      </c>
      <c r="R71" s="12">
        <f t="shared" si="20"/>
        <v>13596.39</v>
      </c>
      <c r="S71" s="12">
        <f t="shared" si="21"/>
        <v>2719.2780000000002</v>
      </c>
      <c r="T71" s="12">
        <f t="shared" si="22"/>
        <v>4758.7364999999991</v>
      </c>
      <c r="U71" s="12">
        <f t="shared" si="23"/>
        <v>6798.1949999999997</v>
      </c>
      <c r="V71" s="17"/>
      <c r="W71" s="6" t="str">
        <f t="shared" si="24"/>
        <v>No</v>
      </c>
      <c r="X71" s="6" t="str">
        <f t="shared" si="25"/>
        <v>Yes</v>
      </c>
      <c r="AA71" s="6" t="str">
        <f t="shared" si="26"/>
        <v>No</v>
      </c>
      <c r="AB71" s="6" t="str">
        <f t="shared" si="27"/>
        <v>Yes</v>
      </c>
      <c r="AE71" s="6" t="str">
        <f t="shared" si="29"/>
        <v>No</v>
      </c>
      <c r="AF71" s="6" t="str">
        <f t="shared" si="30"/>
        <v>Yes</v>
      </c>
      <c r="AH71" s="17"/>
      <c r="AI71" s="6" t="s">
        <v>525</v>
      </c>
      <c r="AK71" s="6" t="s">
        <v>525</v>
      </c>
      <c r="AM71" s="6" t="s">
        <v>525</v>
      </c>
    </row>
    <row r="72" spans="1:45" x14ac:dyDescent="0.45">
      <c r="A72" s="1" t="s">
        <v>27</v>
      </c>
      <c r="B72" s="1" t="s">
        <v>28</v>
      </c>
      <c r="C72" s="12">
        <v>177314</v>
      </c>
      <c r="D72" s="12">
        <f t="shared" si="17"/>
        <v>189961.19</v>
      </c>
      <c r="E72" s="1">
        <v>5</v>
      </c>
      <c r="F72" s="2">
        <v>0.3</v>
      </c>
      <c r="G72" s="2">
        <v>0.5</v>
      </c>
      <c r="H72" s="2">
        <v>0.7</v>
      </c>
      <c r="J72" s="4"/>
      <c r="K72" s="4">
        <v>148306.16</v>
      </c>
      <c r="L72" s="4">
        <v>41655.03</v>
      </c>
      <c r="M72" s="4"/>
      <c r="O72" s="14">
        <f t="shared" si="18"/>
        <v>12647.190000000002</v>
      </c>
      <c r="P72" s="15">
        <f t="shared" si="19"/>
        <v>7.1326516800703843E-2</v>
      </c>
      <c r="R72" s="12">
        <f t="shared" si="20"/>
        <v>189961.19</v>
      </c>
      <c r="S72" s="12">
        <f t="shared" si="21"/>
        <v>56988.356999999996</v>
      </c>
      <c r="T72" s="12">
        <f t="shared" si="22"/>
        <v>94980.595000000001</v>
      </c>
      <c r="U72" s="12">
        <f t="shared" si="23"/>
        <v>132972.83299999998</v>
      </c>
      <c r="V72" s="17"/>
      <c r="W72" s="6" t="str">
        <f t="shared" si="24"/>
        <v>Yes</v>
      </c>
      <c r="AA72" s="6" t="str">
        <f t="shared" si="26"/>
        <v>Yes</v>
      </c>
      <c r="AE72" s="6" t="str">
        <f t="shared" si="29"/>
        <v>Yes</v>
      </c>
      <c r="AH72" s="17"/>
      <c r="AI72" s="6" t="s">
        <v>540</v>
      </c>
      <c r="AK72" s="6" t="s">
        <v>540</v>
      </c>
      <c r="AM72" s="6" t="s">
        <v>540</v>
      </c>
    </row>
    <row r="73" spans="1:45" x14ac:dyDescent="0.45">
      <c r="A73" s="1" t="s">
        <v>259</v>
      </c>
      <c r="B73" s="1" t="s">
        <v>260</v>
      </c>
      <c r="C73" s="12">
        <v>42993</v>
      </c>
      <c r="D73" s="12">
        <f t="shared" si="17"/>
        <v>44832.56</v>
      </c>
      <c r="E73" s="1">
        <v>7</v>
      </c>
      <c r="F73" s="2">
        <v>0.05</v>
      </c>
      <c r="G73" s="2">
        <v>0.15</v>
      </c>
      <c r="H73" s="2">
        <v>0.25</v>
      </c>
      <c r="J73" s="4"/>
      <c r="K73" s="4"/>
      <c r="L73" s="4">
        <v>44832.56</v>
      </c>
      <c r="M73" s="4"/>
      <c r="O73" s="14">
        <f t="shared" si="18"/>
        <v>1839.5599999999977</v>
      </c>
      <c r="P73" s="15">
        <f t="shared" si="19"/>
        <v>4.2787430511943753E-2</v>
      </c>
      <c r="R73" s="12">
        <f t="shared" si="20"/>
        <v>44832.56</v>
      </c>
      <c r="S73" s="12">
        <f t="shared" si="21"/>
        <v>2241.6280000000002</v>
      </c>
      <c r="T73" s="12">
        <f t="shared" si="22"/>
        <v>6724.8839999999991</v>
      </c>
      <c r="U73" s="12">
        <f t="shared" si="23"/>
        <v>11208.14</v>
      </c>
      <c r="V73" s="17"/>
      <c r="W73" s="6" t="str">
        <f t="shared" si="24"/>
        <v>No</v>
      </c>
      <c r="X73" s="6" t="str">
        <f t="shared" si="25"/>
        <v>Yes</v>
      </c>
      <c r="AA73" s="6" t="str">
        <f t="shared" si="26"/>
        <v>No</v>
      </c>
      <c r="AB73" s="6" t="str">
        <f t="shared" si="27"/>
        <v>Yes</v>
      </c>
      <c r="AE73" s="6" t="str">
        <f t="shared" si="29"/>
        <v>No</v>
      </c>
      <c r="AF73" s="6" t="str">
        <f t="shared" si="30"/>
        <v>Yes</v>
      </c>
      <c r="AH73" s="17"/>
      <c r="AI73" s="6" t="s">
        <v>525</v>
      </c>
      <c r="AK73" s="6" t="s">
        <v>525</v>
      </c>
      <c r="AM73" s="6" t="s">
        <v>525</v>
      </c>
    </row>
    <row r="74" spans="1:45" x14ac:dyDescent="0.45">
      <c r="A74" s="1" t="s">
        <v>262</v>
      </c>
      <c r="B74" s="1" t="s">
        <v>263</v>
      </c>
      <c r="C74" s="12">
        <v>154982</v>
      </c>
      <c r="D74" s="12">
        <f t="shared" si="17"/>
        <v>165556.26</v>
      </c>
      <c r="E74" s="1">
        <v>7</v>
      </c>
      <c r="F74" s="2">
        <v>0.15</v>
      </c>
      <c r="G74" s="2">
        <v>0.3</v>
      </c>
      <c r="H74" s="2">
        <v>0.4</v>
      </c>
      <c r="J74" s="4"/>
      <c r="K74" s="4">
        <v>101127.57</v>
      </c>
      <c r="L74" s="4">
        <v>64428.69</v>
      </c>
      <c r="M74" s="4"/>
      <c r="O74" s="14">
        <f t="shared" si="18"/>
        <v>10574.260000000009</v>
      </c>
      <c r="P74" s="15">
        <f t="shared" si="19"/>
        <v>6.8228955620652787E-2</v>
      </c>
      <c r="R74" s="12">
        <f t="shared" si="20"/>
        <v>165556.26</v>
      </c>
      <c r="S74" s="12">
        <f t="shared" si="21"/>
        <v>24833.439000000002</v>
      </c>
      <c r="T74" s="12">
        <f t="shared" si="22"/>
        <v>49666.878000000004</v>
      </c>
      <c r="U74" s="12">
        <f t="shared" si="23"/>
        <v>66222.504000000001</v>
      </c>
      <c r="V74" s="17"/>
      <c r="W74" s="6" t="str">
        <f t="shared" si="24"/>
        <v>Yes</v>
      </c>
      <c r="AA74" s="6" t="str">
        <f t="shared" si="26"/>
        <v>Yes</v>
      </c>
      <c r="AE74" s="6" t="str">
        <f t="shared" si="29"/>
        <v>Yes</v>
      </c>
      <c r="AH74" s="17"/>
      <c r="AI74" s="6" t="s">
        <v>540</v>
      </c>
      <c r="AK74" s="6" t="s">
        <v>540</v>
      </c>
      <c r="AM74" s="6" t="s">
        <v>540</v>
      </c>
    </row>
    <row r="75" spans="1:45" x14ac:dyDescent="0.45">
      <c r="A75" s="1" t="s">
        <v>265</v>
      </c>
      <c r="B75" s="1" t="s">
        <v>266</v>
      </c>
      <c r="C75" s="12">
        <v>65180</v>
      </c>
      <c r="D75" s="12">
        <f t="shared" si="17"/>
        <v>67884.899999999994</v>
      </c>
      <c r="E75" s="1">
        <v>7</v>
      </c>
      <c r="F75" s="2">
        <v>0.1</v>
      </c>
      <c r="G75" s="2">
        <v>0.2</v>
      </c>
      <c r="H75" s="2">
        <v>0.3</v>
      </c>
      <c r="J75" s="4"/>
      <c r="K75" s="4"/>
      <c r="L75" s="4">
        <v>67884.899999999994</v>
      </c>
      <c r="M75" s="4"/>
      <c r="O75" s="14">
        <f t="shared" si="18"/>
        <v>2704.8999999999942</v>
      </c>
      <c r="P75" s="15">
        <f t="shared" si="19"/>
        <v>4.1498926050935782E-2</v>
      </c>
      <c r="R75" s="12">
        <f t="shared" si="20"/>
        <v>67884.899999999994</v>
      </c>
      <c r="S75" s="12">
        <f t="shared" si="21"/>
        <v>6788.49</v>
      </c>
      <c r="T75" s="12">
        <f t="shared" si="22"/>
        <v>13576.98</v>
      </c>
      <c r="U75" s="12">
        <f t="shared" si="23"/>
        <v>20365.469999999998</v>
      </c>
      <c r="V75" s="17"/>
      <c r="W75" s="6" t="str">
        <f t="shared" si="24"/>
        <v>No</v>
      </c>
      <c r="X75" s="6" t="str">
        <f t="shared" si="25"/>
        <v>Yes</v>
      </c>
      <c r="AA75" s="6" t="str">
        <f t="shared" si="26"/>
        <v>No</v>
      </c>
      <c r="AB75" s="6" t="str">
        <f t="shared" si="27"/>
        <v>Yes</v>
      </c>
      <c r="AE75" s="6" t="str">
        <f t="shared" si="29"/>
        <v>No</v>
      </c>
      <c r="AF75" s="6" t="str">
        <f t="shared" si="30"/>
        <v>Yes</v>
      </c>
      <c r="AH75" s="17"/>
      <c r="AI75" s="6" t="s">
        <v>525</v>
      </c>
      <c r="AK75" s="6" t="s">
        <v>525</v>
      </c>
      <c r="AM75" s="6" t="s">
        <v>525</v>
      </c>
    </row>
    <row r="76" spans="1:45" x14ac:dyDescent="0.45">
      <c r="A76" s="1" t="s">
        <v>268</v>
      </c>
      <c r="B76" s="1" t="s">
        <v>269</v>
      </c>
      <c r="C76" s="12">
        <v>165516</v>
      </c>
      <c r="D76" s="12">
        <f t="shared" si="17"/>
        <v>176232.37</v>
      </c>
      <c r="E76" s="1">
        <v>7</v>
      </c>
      <c r="F76" s="2">
        <v>0.25</v>
      </c>
      <c r="G76" s="2">
        <v>0.4</v>
      </c>
      <c r="H76" s="2">
        <v>0.6</v>
      </c>
      <c r="J76" s="4"/>
      <c r="K76" s="4">
        <v>101719.17</v>
      </c>
      <c r="L76" s="4">
        <v>74513.2</v>
      </c>
      <c r="M76" s="4"/>
      <c r="O76" s="14">
        <f t="shared" si="18"/>
        <v>10716.369999999995</v>
      </c>
      <c r="P76" s="15">
        <f t="shared" si="19"/>
        <v>6.474522100582418E-2</v>
      </c>
      <c r="R76" s="12">
        <f t="shared" si="20"/>
        <v>176232.37</v>
      </c>
      <c r="S76" s="12">
        <f t="shared" si="21"/>
        <v>44058.092499999999</v>
      </c>
      <c r="T76" s="12">
        <f t="shared" si="22"/>
        <v>70492.948000000004</v>
      </c>
      <c r="U76" s="12">
        <f t="shared" si="23"/>
        <v>105739.42199999999</v>
      </c>
      <c r="V76" s="17"/>
      <c r="W76" s="6" t="str">
        <f t="shared" si="24"/>
        <v>Yes</v>
      </c>
      <c r="AA76" s="6" t="str">
        <f t="shared" si="26"/>
        <v>Yes</v>
      </c>
      <c r="AE76" s="6" t="str">
        <f t="shared" si="29"/>
        <v>No</v>
      </c>
      <c r="AF76" s="6" t="str">
        <f t="shared" si="30"/>
        <v>No</v>
      </c>
      <c r="AG76" s="6" t="str">
        <f t="shared" si="31"/>
        <v>No</v>
      </c>
      <c r="AH76" s="17"/>
      <c r="AI76" s="6" t="s">
        <v>540</v>
      </c>
      <c r="AK76" s="6" t="s">
        <v>540</v>
      </c>
      <c r="AM76" s="6" t="s">
        <v>541</v>
      </c>
      <c r="AO76" s="23" t="s">
        <v>538</v>
      </c>
      <c r="AP76" s="24"/>
      <c r="AQ76" s="24"/>
      <c r="AR76" s="11">
        <f>U76-K76</f>
        <v>4020.2519999999931</v>
      </c>
      <c r="AS76" s="19">
        <f>AR76/L76*100</f>
        <v>5.3953554537987811</v>
      </c>
    </row>
    <row r="77" spans="1:45" x14ac:dyDescent="0.45">
      <c r="A77" s="1" t="s">
        <v>271</v>
      </c>
      <c r="B77" s="1" t="s">
        <v>272</v>
      </c>
      <c r="C77" s="12">
        <v>45902</v>
      </c>
      <c r="D77" s="12">
        <f t="shared" si="17"/>
        <v>48179.45</v>
      </c>
      <c r="E77" s="1">
        <v>7</v>
      </c>
      <c r="F77" s="2">
        <v>0.25</v>
      </c>
      <c r="G77" s="2">
        <v>0.4</v>
      </c>
      <c r="H77" s="2">
        <v>0.6</v>
      </c>
      <c r="J77" s="4"/>
      <c r="K77" s="4"/>
      <c r="L77" s="4">
        <v>48179.45</v>
      </c>
      <c r="M77" s="4"/>
      <c r="O77" s="14">
        <f t="shared" si="18"/>
        <v>2277.4499999999971</v>
      </c>
      <c r="P77" s="15">
        <f t="shared" si="19"/>
        <v>4.9615485164045077E-2</v>
      </c>
      <c r="R77" s="12">
        <f t="shared" si="20"/>
        <v>48179.45</v>
      </c>
      <c r="S77" s="12">
        <f t="shared" si="21"/>
        <v>12044.862499999999</v>
      </c>
      <c r="T77" s="12">
        <f t="shared" si="22"/>
        <v>19271.78</v>
      </c>
      <c r="U77" s="12">
        <f t="shared" si="23"/>
        <v>28907.67</v>
      </c>
      <c r="V77" s="17"/>
      <c r="W77" s="6" t="str">
        <f t="shared" si="24"/>
        <v>No</v>
      </c>
      <c r="X77" s="6" t="str">
        <f t="shared" si="25"/>
        <v>Yes</v>
      </c>
      <c r="AA77" s="6" t="str">
        <f t="shared" si="26"/>
        <v>No</v>
      </c>
      <c r="AB77" s="6" t="str">
        <f t="shared" si="27"/>
        <v>Yes</v>
      </c>
      <c r="AE77" s="6" t="str">
        <f t="shared" si="29"/>
        <v>No</v>
      </c>
      <c r="AF77" s="6" t="str">
        <f t="shared" si="30"/>
        <v>Yes</v>
      </c>
      <c r="AH77" s="17"/>
      <c r="AI77" s="6" t="s">
        <v>525</v>
      </c>
      <c r="AK77" s="6" t="s">
        <v>525</v>
      </c>
      <c r="AM77" s="6" t="s">
        <v>525</v>
      </c>
    </row>
    <row r="78" spans="1:45" x14ac:dyDescent="0.45">
      <c r="A78" s="1" t="s">
        <v>274</v>
      </c>
      <c r="B78" s="1" t="s">
        <v>275</v>
      </c>
      <c r="C78" s="12">
        <v>20813</v>
      </c>
      <c r="D78" s="12">
        <f t="shared" si="17"/>
        <v>23430.010000000002</v>
      </c>
      <c r="E78" s="1">
        <v>7</v>
      </c>
      <c r="F78" s="2">
        <v>0.15</v>
      </c>
      <c r="G78" s="2">
        <v>0.3</v>
      </c>
      <c r="H78" s="2">
        <v>0.4</v>
      </c>
      <c r="J78" s="4"/>
      <c r="K78" s="4"/>
      <c r="L78" s="4">
        <v>23430.010000000002</v>
      </c>
      <c r="M78" s="4"/>
      <c r="O78" s="14">
        <f t="shared" si="18"/>
        <v>2617.010000000002</v>
      </c>
      <c r="P78" s="15">
        <f t="shared" si="19"/>
        <v>0.12573920146062567</v>
      </c>
      <c r="R78" s="12">
        <f t="shared" si="20"/>
        <v>23430.010000000002</v>
      </c>
      <c r="S78" s="12">
        <f t="shared" si="21"/>
        <v>3514.5015000000003</v>
      </c>
      <c r="T78" s="12">
        <f t="shared" si="22"/>
        <v>7029.0030000000006</v>
      </c>
      <c r="U78" s="12">
        <f t="shared" si="23"/>
        <v>9372.0040000000008</v>
      </c>
      <c r="V78" s="17"/>
      <c r="W78" s="6" t="str">
        <f t="shared" si="24"/>
        <v>No</v>
      </c>
      <c r="X78" s="6" t="str">
        <f t="shared" si="25"/>
        <v>Yes</v>
      </c>
      <c r="AA78" s="6" t="str">
        <f t="shared" si="26"/>
        <v>No</v>
      </c>
      <c r="AB78" s="6" t="str">
        <f t="shared" si="27"/>
        <v>Yes</v>
      </c>
      <c r="AE78" s="6" t="str">
        <f t="shared" si="29"/>
        <v>No</v>
      </c>
      <c r="AF78" s="6" t="str">
        <f t="shared" si="30"/>
        <v>Yes</v>
      </c>
      <c r="AH78" s="17"/>
      <c r="AI78" s="6" t="s">
        <v>525</v>
      </c>
      <c r="AK78" s="6" t="s">
        <v>525</v>
      </c>
      <c r="AM78" s="6" t="s">
        <v>525</v>
      </c>
    </row>
    <row r="79" spans="1:45" x14ac:dyDescent="0.45">
      <c r="A79" s="1" t="s">
        <v>37</v>
      </c>
      <c r="B79" s="1" t="s">
        <v>38</v>
      </c>
      <c r="C79" s="12">
        <v>7030750</v>
      </c>
      <c r="D79" s="12">
        <f t="shared" si="17"/>
        <v>7363382.0600000005</v>
      </c>
      <c r="E79" s="1">
        <v>5</v>
      </c>
      <c r="F79" s="2">
        <v>0.3</v>
      </c>
      <c r="G79" s="2">
        <v>0.5</v>
      </c>
      <c r="H79" s="2">
        <v>0.7</v>
      </c>
      <c r="J79" s="4">
        <v>7363382.0600000005</v>
      </c>
      <c r="K79" s="4"/>
      <c r="L79" s="4"/>
      <c r="M79" s="4"/>
      <c r="O79" s="14">
        <f t="shared" si="18"/>
        <v>332632.06000000052</v>
      </c>
      <c r="P79" s="15">
        <f t="shared" si="19"/>
        <v>4.731103509582911E-2</v>
      </c>
      <c r="R79" s="12">
        <f t="shared" si="20"/>
        <v>7363382.0600000005</v>
      </c>
      <c r="S79" s="12">
        <f t="shared" si="21"/>
        <v>2209014.6180000002</v>
      </c>
      <c r="T79" s="12">
        <f t="shared" si="22"/>
        <v>3681691.0300000003</v>
      </c>
      <c r="U79" s="12">
        <f t="shared" si="23"/>
        <v>5154367.4419999998</v>
      </c>
      <c r="V79" s="17"/>
      <c r="W79" s="6" t="str">
        <f t="shared" si="24"/>
        <v>Yes</v>
      </c>
      <c r="AA79" s="6" t="str">
        <f t="shared" si="26"/>
        <v>Yes</v>
      </c>
      <c r="AE79" s="6" t="str">
        <f t="shared" si="29"/>
        <v>Yes</v>
      </c>
      <c r="AH79" s="17"/>
      <c r="AI79" s="6" t="s">
        <v>540</v>
      </c>
      <c r="AK79" s="6" t="s">
        <v>540</v>
      </c>
      <c r="AM79" s="6" t="s">
        <v>540</v>
      </c>
    </row>
    <row r="80" spans="1:45" x14ac:dyDescent="0.45">
      <c r="A80" s="1" t="s">
        <v>277</v>
      </c>
      <c r="B80" s="1" t="s">
        <v>278</v>
      </c>
      <c r="C80" s="12">
        <v>129279</v>
      </c>
      <c r="D80" s="12">
        <f t="shared" si="17"/>
        <v>152100.65</v>
      </c>
      <c r="E80" s="1">
        <v>7</v>
      </c>
      <c r="F80" s="2">
        <v>0.2</v>
      </c>
      <c r="G80" s="2">
        <v>0.35</v>
      </c>
      <c r="H80" s="2">
        <v>0.5</v>
      </c>
      <c r="J80" s="4"/>
      <c r="K80" s="4">
        <v>31649.54</v>
      </c>
      <c r="L80" s="4">
        <v>120451.11</v>
      </c>
      <c r="M80" s="4"/>
      <c r="O80" s="14">
        <f t="shared" si="18"/>
        <v>22821.649999999994</v>
      </c>
      <c r="P80" s="15">
        <f t="shared" si="19"/>
        <v>0.17653021759141077</v>
      </c>
      <c r="R80" s="12">
        <f t="shared" si="20"/>
        <v>152100.65</v>
      </c>
      <c r="S80" s="12">
        <f t="shared" si="21"/>
        <v>30420.13</v>
      </c>
      <c r="T80" s="12">
        <f t="shared" si="22"/>
        <v>53235.227499999994</v>
      </c>
      <c r="U80" s="12">
        <f t="shared" si="23"/>
        <v>76050.324999999997</v>
      </c>
      <c r="V80" s="17"/>
      <c r="W80" s="6" t="str">
        <f t="shared" si="24"/>
        <v>Yes</v>
      </c>
      <c r="AA80" s="6" t="str">
        <f t="shared" si="26"/>
        <v>No</v>
      </c>
      <c r="AB80" s="6" t="str">
        <f t="shared" si="27"/>
        <v>Yes</v>
      </c>
      <c r="AE80" s="6" t="str">
        <f t="shared" si="29"/>
        <v>No</v>
      </c>
      <c r="AF80" s="6" t="str">
        <f t="shared" si="30"/>
        <v>Yes</v>
      </c>
      <c r="AH80" s="17"/>
      <c r="AI80" s="6" t="s">
        <v>540</v>
      </c>
      <c r="AK80" s="6" t="s">
        <v>541</v>
      </c>
      <c r="AM80" s="6" t="s">
        <v>541</v>
      </c>
      <c r="AO80" s="23" t="s">
        <v>538</v>
      </c>
      <c r="AP80" s="24">
        <f>T80-K80</f>
        <v>21585.687499999993</v>
      </c>
      <c r="AQ80" s="25">
        <f>AP80/L80*100</f>
        <v>17.920704508244047</v>
      </c>
      <c r="AR80" s="11">
        <f>U80-K80</f>
        <v>44400.784999999996</v>
      </c>
      <c r="AS80" s="19">
        <f>AR80/L80*100</f>
        <v>36.862080390956962</v>
      </c>
    </row>
    <row r="81" spans="1:45" x14ac:dyDescent="0.45">
      <c r="A81" s="1" t="s">
        <v>40</v>
      </c>
      <c r="B81" s="1" t="s">
        <v>41</v>
      </c>
      <c r="C81" s="12">
        <v>707534</v>
      </c>
      <c r="D81" s="12">
        <f t="shared" si="17"/>
        <v>773843.52</v>
      </c>
      <c r="E81" s="1">
        <v>5</v>
      </c>
      <c r="F81" s="2">
        <v>0.3</v>
      </c>
      <c r="G81" s="2">
        <v>0.5</v>
      </c>
      <c r="H81" s="2">
        <v>0.7</v>
      </c>
      <c r="J81" s="4"/>
      <c r="K81" s="4">
        <v>740064.43</v>
      </c>
      <c r="L81" s="4">
        <v>33779.089999999997</v>
      </c>
      <c r="M81" s="4"/>
      <c r="O81" s="14">
        <f t="shared" si="18"/>
        <v>66309.520000000019</v>
      </c>
      <c r="P81" s="15">
        <f t="shared" si="19"/>
        <v>9.3719199360030786E-2</v>
      </c>
      <c r="R81" s="12">
        <f t="shared" si="20"/>
        <v>773843.52</v>
      </c>
      <c r="S81" s="12">
        <f t="shared" si="21"/>
        <v>232153.05600000001</v>
      </c>
      <c r="T81" s="12">
        <f t="shared" si="22"/>
        <v>386921.76</v>
      </c>
      <c r="U81" s="12">
        <f t="shared" si="23"/>
        <v>541690.46400000004</v>
      </c>
      <c r="V81" s="17"/>
      <c r="W81" s="6" t="str">
        <f t="shared" si="24"/>
        <v>Yes</v>
      </c>
      <c r="AA81" s="6" t="str">
        <f t="shared" si="26"/>
        <v>Yes</v>
      </c>
      <c r="AE81" s="6" t="str">
        <f t="shared" si="29"/>
        <v>Yes</v>
      </c>
      <c r="AH81" s="17"/>
      <c r="AI81" s="6" t="s">
        <v>540</v>
      </c>
      <c r="AK81" s="6" t="s">
        <v>540</v>
      </c>
      <c r="AM81" s="6" t="s">
        <v>540</v>
      </c>
    </row>
    <row r="82" spans="1:45" x14ac:dyDescent="0.45">
      <c r="A82" s="1" t="s">
        <v>280</v>
      </c>
      <c r="B82" s="1" t="s">
        <v>281</v>
      </c>
      <c r="C82" s="12">
        <v>30010</v>
      </c>
      <c r="D82" s="12">
        <f t="shared" si="17"/>
        <v>32948.660000000003</v>
      </c>
      <c r="E82" s="1">
        <v>7</v>
      </c>
      <c r="F82" s="2">
        <v>0.2</v>
      </c>
      <c r="G82" s="2">
        <v>0.35</v>
      </c>
      <c r="H82" s="2">
        <v>0.5</v>
      </c>
      <c r="J82" s="4"/>
      <c r="K82" s="4"/>
      <c r="L82" s="4">
        <v>32948.660000000003</v>
      </c>
      <c r="M82" s="4"/>
      <c r="O82" s="14">
        <f t="shared" si="18"/>
        <v>2938.6600000000035</v>
      </c>
      <c r="P82" s="15">
        <f t="shared" si="19"/>
        <v>9.792269243585483E-2</v>
      </c>
      <c r="R82" s="12">
        <f t="shared" si="20"/>
        <v>32948.660000000003</v>
      </c>
      <c r="S82" s="12">
        <f t="shared" si="21"/>
        <v>6589.7320000000009</v>
      </c>
      <c r="T82" s="12">
        <f t="shared" si="22"/>
        <v>11532.031000000001</v>
      </c>
      <c r="U82" s="12">
        <f t="shared" si="23"/>
        <v>16474.330000000002</v>
      </c>
      <c r="V82" s="17"/>
      <c r="W82" s="6" t="str">
        <f t="shared" si="24"/>
        <v>No</v>
      </c>
      <c r="X82" s="6" t="str">
        <f t="shared" si="25"/>
        <v>Yes</v>
      </c>
      <c r="AA82" s="6" t="str">
        <f t="shared" si="26"/>
        <v>No</v>
      </c>
      <c r="AB82" s="6" t="str">
        <f t="shared" si="27"/>
        <v>Yes</v>
      </c>
      <c r="AE82" s="6" t="str">
        <f t="shared" si="29"/>
        <v>No</v>
      </c>
      <c r="AF82" s="6" t="str">
        <f t="shared" si="30"/>
        <v>Yes</v>
      </c>
      <c r="AH82" s="17"/>
      <c r="AI82" s="6" t="s">
        <v>525</v>
      </c>
      <c r="AK82" s="6" t="s">
        <v>525</v>
      </c>
      <c r="AM82" s="6" t="s">
        <v>525</v>
      </c>
    </row>
    <row r="83" spans="1:45" x14ac:dyDescent="0.45">
      <c r="A83" s="1" t="s">
        <v>283</v>
      </c>
      <c r="B83" s="1" t="s">
        <v>284</v>
      </c>
      <c r="C83" s="12">
        <v>185818</v>
      </c>
      <c r="D83" s="12">
        <f t="shared" si="17"/>
        <v>198801.61000000002</v>
      </c>
      <c r="E83" s="1">
        <v>7</v>
      </c>
      <c r="F83" s="2">
        <v>0.2</v>
      </c>
      <c r="G83" s="2">
        <v>0.35</v>
      </c>
      <c r="H83" s="2">
        <v>0.5</v>
      </c>
      <c r="J83" s="4"/>
      <c r="K83" s="4"/>
      <c r="L83" s="4">
        <v>198801.61000000002</v>
      </c>
      <c r="M83" s="4"/>
      <c r="O83" s="14">
        <f t="shared" si="18"/>
        <v>12983.610000000015</v>
      </c>
      <c r="P83" s="15">
        <f t="shared" si="19"/>
        <v>6.9872724924388466E-2</v>
      </c>
      <c r="R83" s="12">
        <f t="shared" si="20"/>
        <v>198801.61000000002</v>
      </c>
      <c r="S83" s="12">
        <f t="shared" si="21"/>
        <v>39760.322000000007</v>
      </c>
      <c r="T83" s="12">
        <f t="shared" si="22"/>
        <v>69580.563500000004</v>
      </c>
      <c r="U83" s="12">
        <f t="shared" si="23"/>
        <v>99400.805000000008</v>
      </c>
      <c r="V83" s="17"/>
      <c r="W83" s="6" t="str">
        <f t="shared" si="24"/>
        <v>No</v>
      </c>
      <c r="X83" s="6" t="str">
        <f t="shared" si="25"/>
        <v>Yes</v>
      </c>
      <c r="AA83" s="6" t="str">
        <f t="shared" si="26"/>
        <v>No</v>
      </c>
      <c r="AB83" s="6" t="str">
        <f t="shared" si="27"/>
        <v>Yes</v>
      </c>
      <c r="AE83" s="6" t="str">
        <f t="shared" si="29"/>
        <v>No</v>
      </c>
      <c r="AF83" s="6" t="str">
        <f t="shared" si="30"/>
        <v>Yes</v>
      </c>
      <c r="AH83" s="17"/>
      <c r="AI83" s="6" t="s">
        <v>525</v>
      </c>
      <c r="AK83" s="6" t="s">
        <v>525</v>
      </c>
      <c r="AM83" s="6" t="s">
        <v>525</v>
      </c>
    </row>
    <row r="84" spans="1:45" x14ac:dyDescent="0.45">
      <c r="A84" s="1" t="s">
        <v>286</v>
      </c>
      <c r="B84" s="1" t="s">
        <v>287</v>
      </c>
      <c r="C84" s="12">
        <v>84257</v>
      </c>
      <c r="D84" s="12">
        <f t="shared" si="17"/>
        <v>89385.27</v>
      </c>
      <c r="E84" s="1">
        <v>7</v>
      </c>
      <c r="F84" s="2">
        <v>0.1</v>
      </c>
      <c r="G84" s="2">
        <v>0.2</v>
      </c>
      <c r="H84" s="2">
        <v>0.3</v>
      </c>
      <c r="J84" s="4"/>
      <c r="K84" s="4"/>
      <c r="L84" s="4">
        <v>89385.27</v>
      </c>
      <c r="M84" s="4"/>
      <c r="O84" s="14">
        <f t="shared" si="18"/>
        <v>5128.2700000000041</v>
      </c>
      <c r="P84" s="15">
        <f t="shared" si="19"/>
        <v>6.0864616589719596E-2</v>
      </c>
      <c r="R84" s="12">
        <f t="shared" si="20"/>
        <v>89385.27</v>
      </c>
      <c r="S84" s="12">
        <f t="shared" si="21"/>
        <v>8938.527</v>
      </c>
      <c r="T84" s="12">
        <f t="shared" si="22"/>
        <v>17877.054</v>
      </c>
      <c r="U84" s="12">
        <f t="shared" si="23"/>
        <v>26815.581000000002</v>
      </c>
      <c r="V84" s="17"/>
      <c r="W84" s="6" t="str">
        <f t="shared" si="24"/>
        <v>No</v>
      </c>
      <c r="X84" s="6" t="str">
        <f t="shared" si="25"/>
        <v>Yes</v>
      </c>
      <c r="AA84" s="6" t="str">
        <f t="shared" si="26"/>
        <v>No</v>
      </c>
      <c r="AB84" s="6" t="str">
        <f t="shared" si="27"/>
        <v>Yes</v>
      </c>
      <c r="AE84" s="6" t="str">
        <f t="shared" si="29"/>
        <v>No</v>
      </c>
      <c r="AF84" s="6" t="str">
        <f t="shared" si="30"/>
        <v>Yes</v>
      </c>
      <c r="AH84" s="17"/>
      <c r="AI84" s="6" t="s">
        <v>525</v>
      </c>
      <c r="AK84" s="6" t="s">
        <v>525</v>
      </c>
      <c r="AM84" s="6" t="s">
        <v>525</v>
      </c>
    </row>
    <row r="85" spans="1:45" x14ac:dyDescent="0.45">
      <c r="A85" s="1" t="s">
        <v>289</v>
      </c>
      <c r="B85" s="1" t="s">
        <v>290</v>
      </c>
      <c r="C85" s="12">
        <v>31072</v>
      </c>
      <c r="D85" s="12">
        <f t="shared" si="17"/>
        <v>33647.379999999997</v>
      </c>
      <c r="E85" s="1">
        <v>7</v>
      </c>
      <c r="F85" s="2">
        <v>0.3</v>
      </c>
      <c r="G85" s="2">
        <v>0.5</v>
      </c>
      <c r="H85" s="2">
        <v>0.7</v>
      </c>
      <c r="J85" s="4"/>
      <c r="K85" s="4"/>
      <c r="L85" s="4">
        <v>33647.379999999997</v>
      </c>
      <c r="M85" s="4"/>
      <c r="O85" s="14">
        <f t="shared" si="18"/>
        <v>2575.3799999999974</v>
      </c>
      <c r="P85" s="15">
        <f t="shared" si="19"/>
        <v>8.2884268795056559E-2</v>
      </c>
      <c r="R85" s="12">
        <f t="shared" si="20"/>
        <v>33647.379999999997</v>
      </c>
      <c r="S85" s="12">
        <f t="shared" si="21"/>
        <v>10094.213999999998</v>
      </c>
      <c r="T85" s="12">
        <f t="shared" si="22"/>
        <v>16823.689999999999</v>
      </c>
      <c r="U85" s="12">
        <f t="shared" si="23"/>
        <v>23553.165999999997</v>
      </c>
      <c r="V85" s="17"/>
      <c r="W85" s="6" t="str">
        <f t="shared" si="24"/>
        <v>No</v>
      </c>
      <c r="X85" s="6" t="str">
        <f t="shared" si="25"/>
        <v>Yes</v>
      </c>
      <c r="AA85" s="6" t="str">
        <f t="shared" si="26"/>
        <v>No</v>
      </c>
      <c r="AB85" s="6" t="str">
        <f t="shared" si="27"/>
        <v>Yes</v>
      </c>
      <c r="AE85" s="6" t="str">
        <f t="shared" si="29"/>
        <v>No</v>
      </c>
      <c r="AF85" s="6" t="str">
        <f t="shared" si="30"/>
        <v>Yes</v>
      </c>
      <c r="AH85" s="17"/>
      <c r="AI85" s="6" t="s">
        <v>525</v>
      </c>
      <c r="AK85" s="6" t="s">
        <v>525</v>
      </c>
      <c r="AM85" s="6" t="s">
        <v>525</v>
      </c>
    </row>
    <row r="86" spans="1:45" x14ac:dyDescent="0.45">
      <c r="A86" s="1" t="s">
        <v>43</v>
      </c>
      <c r="B86" s="1" t="s">
        <v>44</v>
      </c>
      <c r="C86" s="12">
        <v>349283</v>
      </c>
      <c r="D86" s="12">
        <f t="shared" si="17"/>
        <v>372251.19</v>
      </c>
      <c r="E86" s="1">
        <v>5</v>
      </c>
      <c r="F86" s="2">
        <v>0.3</v>
      </c>
      <c r="G86" s="2">
        <v>0.5</v>
      </c>
      <c r="H86" s="2">
        <v>0.7</v>
      </c>
      <c r="J86" s="4"/>
      <c r="K86" s="4">
        <v>372251.19</v>
      </c>
      <c r="L86" s="4"/>
      <c r="M86" s="4"/>
      <c r="O86" s="14">
        <f t="shared" si="18"/>
        <v>22968.190000000002</v>
      </c>
      <c r="P86" s="15">
        <f t="shared" si="19"/>
        <v>6.5758110185723334E-2</v>
      </c>
      <c r="R86" s="12">
        <f t="shared" si="20"/>
        <v>372251.19</v>
      </c>
      <c r="S86" s="12">
        <f t="shared" si="21"/>
        <v>111675.357</v>
      </c>
      <c r="T86" s="12">
        <f t="shared" si="22"/>
        <v>186125.595</v>
      </c>
      <c r="U86" s="12">
        <f t="shared" si="23"/>
        <v>260575.83299999998</v>
      </c>
      <c r="V86" s="17"/>
      <c r="W86" s="6" t="str">
        <f t="shared" si="24"/>
        <v>Yes</v>
      </c>
      <c r="AA86" s="6" t="str">
        <f t="shared" si="26"/>
        <v>Yes</v>
      </c>
      <c r="AE86" s="6" t="str">
        <f t="shared" si="29"/>
        <v>Yes</v>
      </c>
      <c r="AH86" s="17"/>
      <c r="AI86" s="6" t="s">
        <v>540</v>
      </c>
      <c r="AK86" s="6" t="s">
        <v>540</v>
      </c>
      <c r="AM86" s="6" t="s">
        <v>540</v>
      </c>
    </row>
    <row r="87" spans="1:45" x14ac:dyDescent="0.45">
      <c r="A87" s="1" t="s">
        <v>292</v>
      </c>
      <c r="B87" s="1" t="s">
        <v>293</v>
      </c>
      <c r="C87" s="12">
        <v>37398</v>
      </c>
      <c r="D87" s="12">
        <f t="shared" si="17"/>
        <v>40642.800000000003</v>
      </c>
      <c r="E87" s="1">
        <v>7</v>
      </c>
      <c r="F87" s="2">
        <v>0.15</v>
      </c>
      <c r="G87" s="2">
        <v>0.3</v>
      </c>
      <c r="H87" s="2">
        <v>0.4</v>
      </c>
      <c r="J87" s="4"/>
      <c r="K87" s="4"/>
      <c r="L87" s="4">
        <v>40642.800000000003</v>
      </c>
      <c r="M87" s="4"/>
      <c r="O87" s="14">
        <f t="shared" si="18"/>
        <v>3244.8000000000029</v>
      </c>
      <c r="P87" s="15">
        <f t="shared" si="19"/>
        <v>8.676399807476344E-2</v>
      </c>
      <c r="R87" s="12">
        <f t="shared" si="20"/>
        <v>40642.800000000003</v>
      </c>
      <c r="S87" s="12">
        <f t="shared" si="21"/>
        <v>6096.42</v>
      </c>
      <c r="T87" s="12">
        <f t="shared" si="22"/>
        <v>12192.84</v>
      </c>
      <c r="U87" s="12">
        <f t="shared" si="23"/>
        <v>16257.120000000003</v>
      </c>
      <c r="V87" s="17"/>
      <c r="W87" s="6" t="str">
        <f t="shared" si="24"/>
        <v>No</v>
      </c>
      <c r="X87" s="6" t="str">
        <f t="shared" si="25"/>
        <v>Yes</v>
      </c>
      <c r="AA87" s="6" t="str">
        <f t="shared" si="26"/>
        <v>No</v>
      </c>
      <c r="AB87" s="6" t="str">
        <f t="shared" si="27"/>
        <v>Yes</v>
      </c>
      <c r="AE87" s="6" t="str">
        <f t="shared" si="29"/>
        <v>No</v>
      </c>
      <c r="AF87" s="6" t="str">
        <f t="shared" si="30"/>
        <v>Yes</v>
      </c>
      <c r="AH87" s="17"/>
      <c r="AI87" s="6" t="s">
        <v>525</v>
      </c>
      <c r="AK87" s="6" t="s">
        <v>525</v>
      </c>
      <c r="AM87" s="6" t="s">
        <v>525</v>
      </c>
    </row>
    <row r="88" spans="1:45" x14ac:dyDescent="0.45">
      <c r="A88" s="1" t="s">
        <v>46</v>
      </c>
      <c r="B88" s="1" t="s">
        <v>47</v>
      </c>
      <c r="C88" s="12">
        <v>678149</v>
      </c>
      <c r="D88" s="12">
        <f t="shared" si="17"/>
        <v>738854.72</v>
      </c>
      <c r="E88" s="1">
        <v>5</v>
      </c>
      <c r="F88" s="2">
        <v>0.3</v>
      </c>
      <c r="G88" s="2">
        <v>0.5</v>
      </c>
      <c r="H88" s="2">
        <v>0.7</v>
      </c>
      <c r="J88" s="4"/>
      <c r="K88" s="4">
        <v>546013.62</v>
      </c>
      <c r="L88" s="4">
        <v>192841.1</v>
      </c>
      <c r="M88" s="4"/>
      <c r="O88" s="14">
        <f t="shared" si="18"/>
        <v>60705.719999999972</v>
      </c>
      <c r="P88" s="15">
        <f t="shared" si="19"/>
        <v>8.9516787608622847E-2</v>
      </c>
      <c r="R88" s="12">
        <f t="shared" si="20"/>
        <v>738854.72</v>
      </c>
      <c r="S88" s="12">
        <f t="shared" si="21"/>
        <v>221656.416</v>
      </c>
      <c r="T88" s="12">
        <f t="shared" si="22"/>
        <v>369427.36</v>
      </c>
      <c r="U88" s="12">
        <f t="shared" si="23"/>
        <v>517198.30399999995</v>
      </c>
      <c r="V88" s="17"/>
      <c r="W88" s="6" t="str">
        <f t="shared" si="24"/>
        <v>Yes</v>
      </c>
      <c r="AA88" s="6" t="str">
        <f t="shared" si="26"/>
        <v>Yes</v>
      </c>
      <c r="AE88" s="6" t="str">
        <f t="shared" si="29"/>
        <v>Yes</v>
      </c>
      <c r="AH88" s="17"/>
      <c r="AI88" s="6" t="s">
        <v>540</v>
      </c>
      <c r="AK88" s="6" t="s">
        <v>540</v>
      </c>
      <c r="AM88" s="6" t="s">
        <v>540</v>
      </c>
    </row>
    <row r="89" spans="1:45" x14ac:dyDescent="0.45">
      <c r="A89" s="1" t="s">
        <v>295</v>
      </c>
      <c r="B89" s="1" t="s">
        <v>296</v>
      </c>
      <c r="C89" s="12">
        <v>138535</v>
      </c>
      <c r="D89" s="12">
        <f t="shared" si="17"/>
        <v>148371.99000000002</v>
      </c>
      <c r="E89" s="1">
        <v>7</v>
      </c>
      <c r="F89" s="2">
        <v>0.3</v>
      </c>
      <c r="G89" s="2">
        <v>0.5</v>
      </c>
      <c r="H89" s="2">
        <v>0.7</v>
      </c>
      <c r="J89" s="4"/>
      <c r="K89" s="4">
        <v>140572.6</v>
      </c>
      <c r="L89" s="4">
        <v>7799.39</v>
      </c>
      <c r="M89" s="4"/>
      <c r="O89" s="14">
        <f t="shared" si="18"/>
        <v>9836.9900000000198</v>
      </c>
      <c r="P89" s="15">
        <f t="shared" si="19"/>
        <v>7.1007254484426463E-2</v>
      </c>
      <c r="R89" s="12">
        <f t="shared" si="20"/>
        <v>148371.99000000002</v>
      </c>
      <c r="S89" s="12">
        <f t="shared" si="21"/>
        <v>44511.597000000002</v>
      </c>
      <c r="T89" s="12">
        <f t="shared" si="22"/>
        <v>74185.99500000001</v>
      </c>
      <c r="U89" s="12">
        <f t="shared" si="23"/>
        <v>103860.39300000001</v>
      </c>
      <c r="V89" s="17"/>
      <c r="W89" s="6" t="str">
        <f t="shared" si="24"/>
        <v>Yes</v>
      </c>
      <c r="AA89" s="6" t="str">
        <f t="shared" si="26"/>
        <v>Yes</v>
      </c>
      <c r="AE89" s="6" t="str">
        <f t="shared" si="29"/>
        <v>Yes</v>
      </c>
      <c r="AH89" s="17"/>
      <c r="AI89" s="6" t="s">
        <v>540</v>
      </c>
      <c r="AK89" s="6" t="s">
        <v>540</v>
      </c>
      <c r="AM89" s="6" t="s">
        <v>540</v>
      </c>
    </row>
    <row r="90" spans="1:45" x14ac:dyDescent="0.45">
      <c r="A90" s="1" t="s">
        <v>298</v>
      </c>
      <c r="B90" s="1" t="s">
        <v>299</v>
      </c>
      <c r="C90" s="12">
        <v>51339</v>
      </c>
      <c r="D90" s="12">
        <f t="shared" si="17"/>
        <v>53654.17</v>
      </c>
      <c r="E90" s="1">
        <v>7</v>
      </c>
      <c r="F90" s="2">
        <v>0.25</v>
      </c>
      <c r="G90" s="2">
        <v>0.4</v>
      </c>
      <c r="H90" s="2">
        <v>0.6</v>
      </c>
      <c r="J90" s="4"/>
      <c r="K90" s="4">
        <v>43848.92</v>
      </c>
      <c r="L90" s="4">
        <v>9805.25</v>
      </c>
      <c r="M90" s="4"/>
      <c r="O90" s="14">
        <f t="shared" si="18"/>
        <v>2315.1699999999983</v>
      </c>
      <c r="P90" s="15">
        <f t="shared" si="19"/>
        <v>4.509573618496656E-2</v>
      </c>
      <c r="R90" s="12">
        <f t="shared" si="20"/>
        <v>53654.17</v>
      </c>
      <c r="S90" s="12">
        <f t="shared" si="21"/>
        <v>13413.5425</v>
      </c>
      <c r="T90" s="12">
        <f t="shared" si="22"/>
        <v>21461.668000000001</v>
      </c>
      <c r="U90" s="12">
        <f t="shared" si="23"/>
        <v>32192.501999999997</v>
      </c>
      <c r="V90" s="17"/>
      <c r="W90" s="6" t="str">
        <f t="shared" si="24"/>
        <v>Yes</v>
      </c>
      <c r="AA90" s="6" t="str">
        <f t="shared" si="26"/>
        <v>Yes</v>
      </c>
      <c r="AE90" s="6" t="str">
        <f t="shared" si="29"/>
        <v>Yes</v>
      </c>
      <c r="AH90" s="17"/>
      <c r="AI90" s="6" t="s">
        <v>540</v>
      </c>
      <c r="AK90" s="6" t="s">
        <v>540</v>
      </c>
      <c r="AM90" s="6" t="s">
        <v>540</v>
      </c>
    </row>
    <row r="91" spans="1:45" x14ac:dyDescent="0.45">
      <c r="A91" s="1" t="s">
        <v>301</v>
      </c>
      <c r="B91" s="1" t="s">
        <v>302</v>
      </c>
      <c r="C91" s="12">
        <v>68885</v>
      </c>
      <c r="D91" s="12">
        <f t="shared" si="17"/>
        <v>70303.290000000008</v>
      </c>
      <c r="E91" s="1">
        <v>7</v>
      </c>
      <c r="F91" s="2">
        <v>0.3</v>
      </c>
      <c r="G91" s="2">
        <v>0.5</v>
      </c>
      <c r="H91" s="2">
        <v>0.7</v>
      </c>
      <c r="J91" s="4"/>
      <c r="K91" s="4">
        <v>42037.68</v>
      </c>
      <c r="L91" s="4">
        <v>28265.61</v>
      </c>
      <c r="M91" s="4"/>
      <c r="O91" s="14">
        <f t="shared" si="18"/>
        <v>1418.2900000000081</v>
      </c>
      <c r="P91" s="15">
        <f t="shared" si="19"/>
        <v>2.0589242941133894E-2</v>
      </c>
      <c r="R91" s="12">
        <f t="shared" si="20"/>
        <v>70303.290000000008</v>
      </c>
      <c r="S91" s="12">
        <f t="shared" si="21"/>
        <v>21090.987000000001</v>
      </c>
      <c r="T91" s="12">
        <f t="shared" si="22"/>
        <v>35151.645000000004</v>
      </c>
      <c r="U91" s="12">
        <f t="shared" si="23"/>
        <v>49212.303</v>
      </c>
      <c r="V91" s="17"/>
      <c r="W91" s="6" t="str">
        <f t="shared" si="24"/>
        <v>Yes</v>
      </c>
      <c r="AA91" s="6" t="str">
        <f t="shared" si="26"/>
        <v>Yes</v>
      </c>
      <c r="AE91" s="6" t="str">
        <f t="shared" si="29"/>
        <v>No</v>
      </c>
      <c r="AF91" s="6" t="str">
        <f t="shared" si="30"/>
        <v>No</v>
      </c>
      <c r="AG91" s="6" t="str">
        <f t="shared" si="31"/>
        <v>No</v>
      </c>
      <c r="AH91" s="17"/>
      <c r="AI91" s="6" t="s">
        <v>540</v>
      </c>
      <c r="AK91" s="6" t="s">
        <v>540</v>
      </c>
      <c r="AM91" s="6" t="s">
        <v>541</v>
      </c>
      <c r="AO91" s="23" t="s">
        <v>538</v>
      </c>
      <c r="AP91" s="24"/>
      <c r="AQ91" s="24"/>
      <c r="AR91" s="11">
        <f>U91-K91</f>
        <v>7174.6229999999996</v>
      </c>
      <c r="AS91" s="19">
        <f>AR91/L91*100</f>
        <v>25.382869854922639</v>
      </c>
    </row>
    <row r="92" spans="1:45" x14ac:dyDescent="0.45">
      <c r="A92" s="1" t="s">
        <v>49</v>
      </c>
      <c r="B92" s="1" t="s">
        <v>50</v>
      </c>
      <c r="C92" s="12">
        <v>401719</v>
      </c>
      <c r="D92" s="12">
        <f t="shared" si="17"/>
        <v>425810.51</v>
      </c>
      <c r="E92" s="1">
        <v>5</v>
      </c>
      <c r="F92" s="2">
        <v>0.3</v>
      </c>
      <c r="G92" s="2">
        <v>0.5</v>
      </c>
      <c r="H92" s="2">
        <v>0.7</v>
      </c>
      <c r="J92" s="4"/>
      <c r="K92" s="4">
        <v>378917.16</v>
      </c>
      <c r="L92" s="4">
        <v>46893.350000000006</v>
      </c>
      <c r="M92" s="4"/>
      <c r="O92" s="14">
        <f t="shared" si="18"/>
        <v>24091.510000000009</v>
      </c>
      <c r="P92" s="15">
        <f t="shared" si="19"/>
        <v>5.9971049415138464E-2</v>
      </c>
      <c r="R92" s="12">
        <f t="shared" si="20"/>
        <v>425810.51</v>
      </c>
      <c r="S92" s="12">
        <f t="shared" si="21"/>
        <v>127743.15299999999</v>
      </c>
      <c r="T92" s="12">
        <f t="shared" si="22"/>
        <v>212905.255</v>
      </c>
      <c r="U92" s="12">
        <f t="shared" si="23"/>
        <v>298067.35699999996</v>
      </c>
      <c r="V92" s="17"/>
      <c r="W92" s="6" t="str">
        <f t="shared" si="24"/>
        <v>Yes</v>
      </c>
      <c r="AA92" s="6" t="str">
        <f t="shared" si="26"/>
        <v>Yes</v>
      </c>
      <c r="AE92" s="6" t="str">
        <f t="shared" si="29"/>
        <v>Yes</v>
      </c>
      <c r="AH92" s="17"/>
      <c r="AI92" s="6" t="s">
        <v>540</v>
      </c>
      <c r="AK92" s="6" t="s">
        <v>540</v>
      </c>
      <c r="AM92" s="6" t="s">
        <v>540</v>
      </c>
    </row>
    <row r="93" spans="1:45" x14ac:dyDescent="0.45">
      <c r="A93" s="1" t="s">
        <v>304</v>
      </c>
      <c r="B93" s="1" t="s">
        <v>305</v>
      </c>
      <c r="C93" s="12">
        <v>30983</v>
      </c>
      <c r="D93" s="12">
        <f t="shared" si="17"/>
        <v>30045.71</v>
      </c>
      <c r="E93" s="1">
        <v>7</v>
      </c>
      <c r="F93" s="2">
        <v>0.15</v>
      </c>
      <c r="G93" s="2">
        <v>0.3</v>
      </c>
      <c r="H93" s="2">
        <v>0.4</v>
      </c>
      <c r="J93" s="4"/>
      <c r="K93" s="4">
        <v>8265.0300000000007</v>
      </c>
      <c r="L93" s="4">
        <v>21780.68</v>
      </c>
      <c r="M93" s="4"/>
      <c r="O93" s="14">
        <f t="shared" si="18"/>
        <v>-937.29000000000087</v>
      </c>
      <c r="P93" s="15">
        <f t="shared" si="19"/>
        <v>-3.0251750960204011E-2</v>
      </c>
      <c r="R93" s="12">
        <f t="shared" si="20"/>
        <v>30045.71</v>
      </c>
      <c r="S93" s="12">
        <f t="shared" si="21"/>
        <v>4506.8564999999999</v>
      </c>
      <c r="T93" s="12">
        <f t="shared" si="22"/>
        <v>9013.7129999999997</v>
      </c>
      <c r="U93" s="12">
        <f t="shared" si="23"/>
        <v>12018.284</v>
      </c>
      <c r="V93" s="17"/>
      <c r="W93" s="6" t="str">
        <f t="shared" si="24"/>
        <v>Yes</v>
      </c>
      <c r="AA93" s="6" t="str">
        <f t="shared" si="26"/>
        <v>No</v>
      </c>
      <c r="AB93" s="6" t="str">
        <f t="shared" si="27"/>
        <v>Yes</v>
      </c>
      <c r="AE93" s="6" t="str">
        <f t="shared" si="29"/>
        <v>No</v>
      </c>
      <c r="AF93" s="6" t="str">
        <f t="shared" si="30"/>
        <v>Yes</v>
      </c>
      <c r="AH93" s="17"/>
      <c r="AI93" s="6" t="s">
        <v>540</v>
      </c>
      <c r="AK93" s="6" t="s">
        <v>541</v>
      </c>
      <c r="AM93" s="6" t="s">
        <v>541</v>
      </c>
      <c r="AO93" s="23" t="s">
        <v>538</v>
      </c>
      <c r="AP93" s="24">
        <f>T93-K93</f>
        <v>748.68299999999908</v>
      </c>
      <c r="AQ93" s="25">
        <f>AP93/L93*100</f>
        <v>3.4373720196063626</v>
      </c>
      <c r="AR93" s="11">
        <f t="shared" ref="AR93:AR95" si="32">U93-K93</f>
        <v>3753.253999999999</v>
      </c>
      <c r="AS93" s="19">
        <f t="shared" ref="AS93:AS95" si="33">AR93/L93*100</f>
        <v>17.232033159662596</v>
      </c>
    </row>
    <row r="94" spans="1:45" x14ac:dyDescent="0.45">
      <c r="A94" s="1" t="s">
        <v>307</v>
      </c>
      <c r="B94" s="1" t="s">
        <v>308</v>
      </c>
      <c r="C94" s="12">
        <v>123953</v>
      </c>
      <c r="D94" s="12">
        <f t="shared" si="17"/>
        <v>126775.03999999999</v>
      </c>
      <c r="E94" s="1">
        <v>7</v>
      </c>
      <c r="F94" s="2">
        <v>0.3</v>
      </c>
      <c r="G94" s="2">
        <v>0.5</v>
      </c>
      <c r="H94" s="2">
        <v>0.7</v>
      </c>
      <c r="J94" s="4"/>
      <c r="K94" s="4">
        <v>78600.59</v>
      </c>
      <c r="L94" s="4">
        <v>48174.45</v>
      </c>
      <c r="M94" s="4"/>
      <c r="O94" s="14">
        <f t="shared" si="18"/>
        <v>2822.0399999999936</v>
      </c>
      <c r="P94" s="15">
        <f t="shared" si="19"/>
        <v>2.2767016530459074E-2</v>
      </c>
      <c r="R94" s="12">
        <f t="shared" si="20"/>
        <v>126775.03999999999</v>
      </c>
      <c r="S94" s="12">
        <f t="shared" si="21"/>
        <v>38032.511999999995</v>
      </c>
      <c r="T94" s="12">
        <f t="shared" si="22"/>
        <v>63387.519999999997</v>
      </c>
      <c r="U94" s="12">
        <f t="shared" si="23"/>
        <v>88742.527999999991</v>
      </c>
      <c r="V94" s="17"/>
      <c r="W94" s="6" t="str">
        <f t="shared" si="24"/>
        <v>Yes</v>
      </c>
      <c r="AA94" s="6" t="str">
        <f t="shared" si="26"/>
        <v>Yes</v>
      </c>
      <c r="AE94" s="6" t="str">
        <f t="shared" si="29"/>
        <v>No</v>
      </c>
      <c r="AF94" s="6" t="str">
        <f t="shared" si="30"/>
        <v>No</v>
      </c>
      <c r="AG94" s="6" t="str">
        <f t="shared" si="31"/>
        <v>No</v>
      </c>
      <c r="AH94" s="17"/>
      <c r="AI94" s="6" t="s">
        <v>540</v>
      </c>
      <c r="AK94" s="6" t="s">
        <v>540</v>
      </c>
      <c r="AM94" s="6" t="s">
        <v>541</v>
      </c>
      <c r="AO94" s="23" t="s">
        <v>538</v>
      </c>
      <c r="AP94" s="24"/>
      <c r="AQ94" s="24"/>
      <c r="AR94" s="11">
        <f t="shared" si="32"/>
        <v>10141.937999999995</v>
      </c>
      <c r="AS94" s="19">
        <f t="shared" si="33"/>
        <v>21.052524730432822</v>
      </c>
    </row>
    <row r="95" spans="1:45" x14ac:dyDescent="0.45">
      <c r="A95" s="1" t="s">
        <v>310</v>
      </c>
      <c r="B95" s="1" t="s">
        <v>311</v>
      </c>
      <c r="C95" s="12">
        <v>46727</v>
      </c>
      <c r="D95" s="12">
        <f t="shared" si="17"/>
        <v>51527.210000000006</v>
      </c>
      <c r="E95" s="1">
        <v>7</v>
      </c>
      <c r="F95" s="2">
        <v>0.25</v>
      </c>
      <c r="G95" s="2">
        <v>0.4</v>
      </c>
      <c r="H95" s="2">
        <v>0.6</v>
      </c>
      <c r="J95" s="4"/>
      <c r="K95" s="4">
        <v>13907.98</v>
      </c>
      <c r="L95" s="4">
        <v>37619.230000000003</v>
      </c>
      <c r="M95" s="4"/>
      <c r="O95" s="14">
        <f t="shared" si="18"/>
        <v>4800.2100000000064</v>
      </c>
      <c r="P95" s="15">
        <f t="shared" si="19"/>
        <v>0.10272882915659054</v>
      </c>
      <c r="R95" s="12">
        <f t="shared" si="20"/>
        <v>51527.210000000006</v>
      </c>
      <c r="S95" s="12">
        <f t="shared" si="21"/>
        <v>12881.802500000002</v>
      </c>
      <c r="T95" s="12">
        <f t="shared" si="22"/>
        <v>20610.884000000005</v>
      </c>
      <c r="U95" s="12">
        <f t="shared" si="23"/>
        <v>30916.326000000001</v>
      </c>
      <c r="V95" s="17"/>
      <c r="W95" s="6" t="str">
        <f t="shared" si="24"/>
        <v>Yes</v>
      </c>
      <c r="AA95" s="6" t="str">
        <f t="shared" si="26"/>
        <v>No</v>
      </c>
      <c r="AB95" s="6" t="str">
        <f t="shared" si="27"/>
        <v>Yes</v>
      </c>
      <c r="AE95" s="6" t="str">
        <f t="shared" si="29"/>
        <v>No</v>
      </c>
      <c r="AF95" s="6" t="str">
        <f t="shared" si="30"/>
        <v>Yes</v>
      </c>
      <c r="AH95" s="17"/>
      <c r="AI95" s="6" t="s">
        <v>540</v>
      </c>
      <c r="AK95" s="6" t="s">
        <v>541</v>
      </c>
      <c r="AM95" s="6" t="s">
        <v>541</v>
      </c>
      <c r="AO95" s="23" t="s">
        <v>538</v>
      </c>
      <c r="AP95" s="24">
        <f>T95-K95</f>
        <v>6702.9040000000059</v>
      </c>
      <c r="AQ95" s="25">
        <f>AP95/L95*100</f>
        <v>17.817759693646057</v>
      </c>
      <c r="AR95" s="11">
        <f t="shared" si="32"/>
        <v>17008.346000000001</v>
      </c>
      <c r="AS95" s="19">
        <f t="shared" si="33"/>
        <v>45.211839795764028</v>
      </c>
    </row>
    <row r="96" spans="1:45" x14ac:dyDescent="0.45">
      <c r="A96" s="1" t="s">
        <v>52</v>
      </c>
      <c r="B96" s="1" t="s">
        <v>53</v>
      </c>
      <c r="C96" s="12">
        <v>352290</v>
      </c>
      <c r="D96" s="12">
        <f t="shared" si="17"/>
        <v>382704.14</v>
      </c>
      <c r="E96" s="1">
        <v>5</v>
      </c>
      <c r="F96" s="2">
        <v>0.25</v>
      </c>
      <c r="G96" s="2">
        <v>0.4</v>
      </c>
      <c r="H96" s="2">
        <v>0.6</v>
      </c>
      <c r="J96" s="4"/>
      <c r="K96" s="4">
        <v>269820.41000000003</v>
      </c>
      <c r="L96" s="4">
        <v>112883.73</v>
      </c>
      <c r="M96" s="4"/>
      <c r="O96" s="14">
        <f t="shared" si="18"/>
        <v>30414.140000000014</v>
      </c>
      <c r="P96" s="15">
        <f t="shared" si="19"/>
        <v>8.633268046211931E-2</v>
      </c>
      <c r="R96" s="12">
        <f t="shared" si="20"/>
        <v>382704.14</v>
      </c>
      <c r="S96" s="12">
        <f t="shared" si="21"/>
        <v>95676.035000000003</v>
      </c>
      <c r="T96" s="12">
        <f t="shared" si="22"/>
        <v>153081.65600000002</v>
      </c>
      <c r="U96" s="12">
        <f t="shared" si="23"/>
        <v>229622.484</v>
      </c>
      <c r="V96" s="17"/>
      <c r="W96" s="6" t="str">
        <f t="shared" si="24"/>
        <v>Yes</v>
      </c>
      <c r="AA96" s="6" t="str">
        <f t="shared" si="26"/>
        <v>Yes</v>
      </c>
      <c r="AE96" s="6" t="str">
        <f t="shared" si="29"/>
        <v>Yes</v>
      </c>
      <c r="AH96" s="17"/>
      <c r="AI96" s="6" t="s">
        <v>540</v>
      </c>
      <c r="AK96" s="6" t="s">
        <v>540</v>
      </c>
      <c r="AM96" s="6" t="s">
        <v>540</v>
      </c>
    </row>
    <row r="97" spans="1:45" x14ac:dyDescent="0.45">
      <c r="A97" s="1" t="s">
        <v>313</v>
      </c>
      <c r="B97" s="1" t="s">
        <v>314</v>
      </c>
      <c r="C97" s="12">
        <v>49059</v>
      </c>
      <c r="D97" s="12">
        <f t="shared" si="17"/>
        <v>53462.42</v>
      </c>
      <c r="E97" s="1">
        <v>7</v>
      </c>
      <c r="F97" s="2">
        <v>0.2</v>
      </c>
      <c r="G97" s="2">
        <v>0.35</v>
      </c>
      <c r="H97" s="2">
        <v>0.5</v>
      </c>
      <c r="J97" s="4"/>
      <c r="K97" s="4"/>
      <c r="L97" s="4">
        <v>53462.42</v>
      </c>
      <c r="M97" s="4"/>
      <c r="O97" s="14">
        <f t="shared" si="18"/>
        <v>4403.4199999999983</v>
      </c>
      <c r="P97" s="15">
        <f t="shared" si="19"/>
        <v>8.9757638761491232E-2</v>
      </c>
      <c r="R97" s="12">
        <f t="shared" si="20"/>
        <v>53462.42</v>
      </c>
      <c r="S97" s="12">
        <f t="shared" si="21"/>
        <v>10692.484</v>
      </c>
      <c r="T97" s="12">
        <f t="shared" si="22"/>
        <v>18711.846999999998</v>
      </c>
      <c r="U97" s="12">
        <f t="shared" si="23"/>
        <v>26731.21</v>
      </c>
      <c r="V97" s="17"/>
      <c r="W97" s="6" t="str">
        <f t="shared" si="24"/>
        <v>No</v>
      </c>
      <c r="X97" s="6" t="str">
        <f t="shared" si="25"/>
        <v>Yes</v>
      </c>
      <c r="AA97" s="6" t="str">
        <f t="shared" si="26"/>
        <v>No</v>
      </c>
      <c r="AB97" s="6" t="str">
        <f t="shared" si="27"/>
        <v>Yes</v>
      </c>
      <c r="AE97" s="6" t="str">
        <f t="shared" si="29"/>
        <v>No</v>
      </c>
      <c r="AF97" s="6" t="str">
        <f t="shared" si="30"/>
        <v>Yes</v>
      </c>
      <c r="AH97" s="17"/>
      <c r="AI97" s="6" t="s">
        <v>525</v>
      </c>
      <c r="AK97" s="6" t="s">
        <v>525</v>
      </c>
      <c r="AM97" s="6" t="s">
        <v>525</v>
      </c>
    </row>
    <row r="98" spans="1:45" x14ac:dyDescent="0.45">
      <c r="A98" s="1" t="s">
        <v>316</v>
      </c>
      <c r="B98" s="1" t="s">
        <v>317</v>
      </c>
      <c r="C98" s="12">
        <v>61892</v>
      </c>
      <c r="D98" s="12">
        <f t="shared" si="17"/>
        <v>68225.97</v>
      </c>
      <c r="E98" s="1">
        <v>7</v>
      </c>
      <c r="F98" s="2">
        <v>0.2</v>
      </c>
      <c r="G98" s="2">
        <v>0.35</v>
      </c>
      <c r="H98" s="2">
        <v>0.5</v>
      </c>
      <c r="J98" s="4"/>
      <c r="K98" s="4"/>
      <c r="L98" s="4">
        <v>68225.97</v>
      </c>
      <c r="M98" s="4"/>
      <c r="O98" s="14">
        <f t="shared" si="18"/>
        <v>6333.9700000000012</v>
      </c>
      <c r="P98" s="15">
        <f t="shared" si="19"/>
        <v>0.10233907451690043</v>
      </c>
      <c r="R98" s="12">
        <f t="shared" si="20"/>
        <v>68225.97</v>
      </c>
      <c r="S98" s="12">
        <f t="shared" si="21"/>
        <v>13645.194000000001</v>
      </c>
      <c r="T98" s="12">
        <f t="shared" si="22"/>
        <v>23879.089499999998</v>
      </c>
      <c r="U98" s="12">
        <f t="shared" si="23"/>
        <v>34112.985000000001</v>
      </c>
      <c r="V98" s="17"/>
      <c r="W98" s="6" t="str">
        <f t="shared" si="24"/>
        <v>No</v>
      </c>
      <c r="X98" s="6" t="str">
        <f t="shared" si="25"/>
        <v>Yes</v>
      </c>
      <c r="AA98" s="6" t="str">
        <f t="shared" si="26"/>
        <v>No</v>
      </c>
      <c r="AB98" s="6" t="str">
        <f t="shared" si="27"/>
        <v>Yes</v>
      </c>
      <c r="AE98" s="6" t="str">
        <f t="shared" si="29"/>
        <v>No</v>
      </c>
      <c r="AF98" s="6" t="str">
        <f t="shared" si="30"/>
        <v>Yes</v>
      </c>
      <c r="AH98" s="17"/>
      <c r="AI98" s="6" t="s">
        <v>525</v>
      </c>
      <c r="AK98" s="6" t="s">
        <v>525</v>
      </c>
      <c r="AM98" s="6" t="s">
        <v>525</v>
      </c>
    </row>
    <row r="99" spans="1:45" x14ac:dyDescent="0.45">
      <c r="A99" s="1" t="s">
        <v>319</v>
      </c>
      <c r="B99" s="1" t="s">
        <v>320</v>
      </c>
      <c r="C99" s="12">
        <v>104524</v>
      </c>
      <c r="D99" s="12">
        <f t="shared" si="17"/>
        <v>106921.08</v>
      </c>
      <c r="E99" s="1">
        <v>7</v>
      </c>
      <c r="F99" s="2">
        <v>0.25</v>
      </c>
      <c r="G99" s="2">
        <v>0.4</v>
      </c>
      <c r="H99" s="2">
        <v>0.6</v>
      </c>
      <c r="J99" s="4"/>
      <c r="K99" s="4">
        <v>57881.19</v>
      </c>
      <c r="L99" s="4">
        <v>49039.89</v>
      </c>
      <c r="M99" s="4"/>
      <c r="O99" s="14">
        <f t="shared" si="18"/>
        <v>2397.0800000000017</v>
      </c>
      <c r="P99" s="15">
        <f t="shared" si="19"/>
        <v>2.2933297615858574E-2</v>
      </c>
      <c r="R99" s="12">
        <f t="shared" si="20"/>
        <v>106921.08</v>
      </c>
      <c r="S99" s="12">
        <f t="shared" si="21"/>
        <v>26730.27</v>
      </c>
      <c r="T99" s="12">
        <f t="shared" si="22"/>
        <v>42768.432000000001</v>
      </c>
      <c r="U99" s="12">
        <f t="shared" si="23"/>
        <v>64152.648000000001</v>
      </c>
      <c r="V99" s="17"/>
      <c r="W99" s="6" t="str">
        <f t="shared" si="24"/>
        <v>Yes</v>
      </c>
      <c r="AA99" s="6" t="str">
        <f t="shared" si="26"/>
        <v>Yes</v>
      </c>
      <c r="AE99" s="6" t="str">
        <f t="shared" si="29"/>
        <v>No</v>
      </c>
      <c r="AF99" s="6" t="str">
        <f t="shared" si="30"/>
        <v>No</v>
      </c>
      <c r="AG99" s="6" t="str">
        <f t="shared" si="31"/>
        <v>No</v>
      </c>
      <c r="AH99" s="17"/>
      <c r="AI99" s="6" t="s">
        <v>540</v>
      </c>
      <c r="AK99" s="6" t="s">
        <v>540</v>
      </c>
      <c r="AM99" s="6" t="s">
        <v>541</v>
      </c>
      <c r="AO99" s="23" t="s">
        <v>538</v>
      </c>
      <c r="AP99" s="24"/>
      <c r="AQ99" s="24"/>
      <c r="AR99" s="11">
        <f>U99-K99</f>
        <v>6271.4579999999987</v>
      </c>
      <c r="AS99" s="19">
        <f>AR99/L99*100</f>
        <v>12.788483008424365</v>
      </c>
    </row>
    <row r="100" spans="1:45" x14ac:dyDescent="0.45">
      <c r="A100" s="1" t="s">
        <v>322</v>
      </c>
      <c r="B100" s="1" t="s">
        <v>323</v>
      </c>
      <c r="C100" s="12">
        <v>21123</v>
      </c>
      <c r="D100" s="12">
        <f t="shared" si="17"/>
        <v>24090.27</v>
      </c>
      <c r="E100" s="1">
        <v>7</v>
      </c>
      <c r="F100" s="2">
        <v>0.15</v>
      </c>
      <c r="G100" s="2">
        <v>0.3</v>
      </c>
      <c r="H100" s="2">
        <v>0.4</v>
      </c>
      <c r="J100" s="4"/>
      <c r="K100" s="4"/>
      <c r="L100" s="4">
        <v>24090.27</v>
      </c>
      <c r="M100" s="4"/>
      <c r="O100" s="14">
        <f t="shared" si="18"/>
        <v>2967.2700000000004</v>
      </c>
      <c r="P100" s="15">
        <f t="shared" si="19"/>
        <v>0.14047578468967478</v>
      </c>
      <c r="R100" s="12">
        <f t="shared" si="20"/>
        <v>24090.27</v>
      </c>
      <c r="S100" s="12">
        <f t="shared" si="21"/>
        <v>3613.5405000000001</v>
      </c>
      <c r="T100" s="12">
        <f t="shared" si="22"/>
        <v>7227.0810000000001</v>
      </c>
      <c r="U100" s="12">
        <f t="shared" si="23"/>
        <v>9636.1080000000002</v>
      </c>
      <c r="V100" s="17"/>
      <c r="W100" s="6" t="str">
        <f t="shared" si="24"/>
        <v>No</v>
      </c>
      <c r="X100" s="6" t="str">
        <f t="shared" si="25"/>
        <v>Yes</v>
      </c>
      <c r="AA100" s="6" t="str">
        <f t="shared" si="26"/>
        <v>No</v>
      </c>
      <c r="AB100" s="6" t="str">
        <f t="shared" si="27"/>
        <v>Yes</v>
      </c>
      <c r="AE100" s="6" t="str">
        <f t="shared" si="29"/>
        <v>No</v>
      </c>
      <c r="AF100" s="6" t="str">
        <f t="shared" si="30"/>
        <v>Yes</v>
      </c>
      <c r="AH100" s="17"/>
      <c r="AI100" s="6" t="s">
        <v>525</v>
      </c>
      <c r="AK100" s="6" t="s">
        <v>525</v>
      </c>
      <c r="AM100" s="6" t="s">
        <v>525</v>
      </c>
    </row>
    <row r="101" spans="1:45" x14ac:dyDescent="0.45">
      <c r="A101" s="1" t="s">
        <v>325</v>
      </c>
      <c r="B101" s="1" t="s">
        <v>326</v>
      </c>
      <c r="C101" s="12">
        <v>29520</v>
      </c>
      <c r="D101" s="12">
        <f t="shared" si="17"/>
        <v>30827.11</v>
      </c>
      <c r="E101" s="1">
        <v>7</v>
      </c>
      <c r="F101" s="2">
        <v>0.2</v>
      </c>
      <c r="G101" s="2">
        <v>0.35</v>
      </c>
      <c r="H101" s="2">
        <v>0.5</v>
      </c>
      <c r="J101" s="4"/>
      <c r="K101" s="4"/>
      <c r="L101" s="4">
        <v>30827.11</v>
      </c>
      <c r="M101" s="4"/>
      <c r="O101" s="14">
        <f t="shared" si="18"/>
        <v>1307.1100000000006</v>
      </c>
      <c r="P101" s="15">
        <f t="shared" si="19"/>
        <v>4.4278794037940397E-2</v>
      </c>
      <c r="R101" s="12">
        <f t="shared" si="20"/>
        <v>30827.11</v>
      </c>
      <c r="S101" s="12">
        <f t="shared" si="21"/>
        <v>6165.4220000000005</v>
      </c>
      <c r="T101" s="12">
        <f t="shared" si="22"/>
        <v>10789.488499999999</v>
      </c>
      <c r="U101" s="12">
        <f t="shared" si="23"/>
        <v>15413.555</v>
      </c>
      <c r="V101" s="17"/>
      <c r="W101" s="6" t="str">
        <f t="shared" si="24"/>
        <v>No</v>
      </c>
      <c r="X101" s="6" t="str">
        <f t="shared" si="25"/>
        <v>Yes</v>
      </c>
      <c r="AA101" s="6" t="str">
        <f t="shared" si="26"/>
        <v>No</v>
      </c>
      <c r="AB101" s="6" t="str">
        <f t="shared" si="27"/>
        <v>Yes</v>
      </c>
      <c r="AE101" s="6" t="str">
        <f t="shared" si="29"/>
        <v>No</v>
      </c>
      <c r="AF101" s="6" t="str">
        <f t="shared" si="30"/>
        <v>Yes</v>
      </c>
      <c r="AH101" s="17"/>
      <c r="AI101" s="6" t="s">
        <v>525</v>
      </c>
      <c r="AK101" s="6" t="s">
        <v>525</v>
      </c>
      <c r="AM101" s="6" t="s">
        <v>525</v>
      </c>
    </row>
    <row r="102" spans="1:45" x14ac:dyDescent="0.45">
      <c r="A102" s="1" t="s">
        <v>328</v>
      </c>
      <c r="B102" s="1" t="s">
        <v>329</v>
      </c>
      <c r="C102" s="12">
        <v>178872</v>
      </c>
      <c r="D102" s="12">
        <f t="shared" si="17"/>
        <v>184029.84999999998</v>
      </c>
      <c r="E102" s="1">
        <v>7</v>
      </c>
      <c r="F102" s="2">
        <v>0.25</v>
      </c>
      <c r="G102" s="2">
        <v>0.4</v>
      </c>
      <c r="H102" s="2">
        <v>0.6</v>
      </c>
      <c r="J102" s="4"/>
      <c r="K102" s="4">
        <v>109326.64</v>
      </c>
      <c r="L102" s="4">
        <v>74703.209999999992</v>
      </c>
      <c r="M102" s="4"/>
      <c r="O102" s="14">
        <f t="shared" si="18"/>
        <v>5157.8499999999767</v>
      </c>
      <c r="P102" s="15">
        <f t="shared" si="19"/>
        <v>2.8835424213962926E-2</v>
      </c>
      <c r="R102" s="12">
        <f t="shared" si="20"/>
        <v>184029.84999999998</v>
      </c>
      <c r="S102" s="12">
        <f t="shared" si="21"/>
        <v>46007.462499999994</v>
      </c>
      <c r="T102" s="12">
        <f t="shared" si="22"/>
        <v>73611.939999999988</v>
      </c>
      <c r="U102" s="12">
        <f t="shared" si="23"/>
        <v>110417.90999999999</v>
      </c>
      <c r="V102" s="17"/>
      <c r="W102" s="6" t="str">
        <f t="shared" si="24"/>
        <v>Yes</v>
      </c>
      <c r="AA102" s="6" t="str">
        <f t="shared" si="26"/>
        <v>Yes</v>
      </c>
      <c r="AE102" s="6" t="str">
        <f t="shared" si="29"/>
        <v>No</v>
      </c>
      <c r="AF102" s="6" t="str">
        <f t="shared" si="30"/>
        <v>No</v>
      </c>
      <c r="AG102" s="6" t="str">
        <f t="shared" si="31"/>
        <v>No</v>
      </c>
      <c r="AH102" s="17"/>
      <c r="AI102" s="6" t="s">
        <v>540</v>
      </c>
      <c r="AK102" s="6" t="s">
        <v>540</v>
      </c>
      <c r="AM102" s="6" t="s">
        <v>541</v>
      </c>
      <c r="AO102" s="23" t="s">
        <v>538</v>
      </c>
      <c r="AP102" s="24"/>
      <c r="AQ102" s="24"/>
      <c r="AR102" s="11">
        <f>U102-K102</f>
        <v>1091.2699999999895</v>
      </c>
      <c r="AS102" s="19">
        <f>AR102/L102*100</f>
        <v>1.4608073736054845</v>
      </c>
    </row>
    <row r="103" spans="1:45" x14ac:dyDescent="0.45">
      <c r="A103" s="1" t="s">
        <v>331</v>
      </c>
      <c r="B103" s="1" t="s">
        <v>332</v>
      </c>
      <c r="C103" s="12">
        <v>32402</v>
      </c>
      <c r="D103" s="12">
        <f t="shared" si="17"/>
        <v>31578.54</v>
      </c>
      <c r="E103" s="1">
        <v>7</v>
      </c>
      <c r="F103" s="2">
        <v>0.2</v>
      </c>
      <c r="G103" s="2">
        <v>0.35</v>
      </c>
      <c r="H103" s="2">
        <v>0.5</v>
      </c>
      <c r="J103" s="4"/>
      <c r="K103" s="4"/>
      <c r="L103" s="4">
        <v>31578.54</v>
      </c>
      <c r="M103" s="4"/>
      <c r="O103" s="14">
        <f t="shared" si="18"/>
        <v>-823.45999999999913</v>
      </c>
      <c r="P103" s="15">
        <f t="shared" si="19"/>
        <v>-2.5413863341769E-2</v>
      </c>
      <c r="R103" s="12">
        <f t="shared" si="20"/>
        <v>31578.54</v>
      </c>
      <c r="S103" s="12">
        <f t="shared" si="21"/>
        <v>6315.7080000000005</v>
      </c>
      <c r="T103" s="12">
        <f t="shared" si="22"/>
        <v>11052.489</v>
      </c>
      <c r="U103" s="12">
        <f t="shared" si="23"/>
        <v>15789.27</v>
      </c>
      <c r="V103" s="17"/>
      <c r="W103" s="6" t="str">
        <f t="shared" si="24"/>
        <v>No</v>
      </c>
      <c r="X103" s="6" t="str">
        <f t="shared" si="25"/>
        <v>Yes</v>
      </c>
      <c r="AA103" s="6" t="str">
        <f t="shared" si="26"/>
        <v>No</v>
      </c>
      <c r="AB103" s="6" t="str">
        <f t="shared" si="27"/>
        <v>Yes</v>
      </c>
      <c r="AE103" s="6" t="str">
        <f t="shared" si="29"/>
        <v>No</v>
      </c>
      <c r="AF103" s="6" t="str">
        <f t="shared" si="30"/>
        <v>Yes</v>
      </c>
      <c r="AH103" s="17"/>
      <c r="AI103" s="6" t="s">
        <v>525</v>
      </c>
      <c r="AK103" s="6" t="s">
        <v>525</v>
      </c>
      <c r="AM103" s="6" t="s">
        <v>525</v>
      </c>
    </row>
    <row r="104" spans="1:45" x14ac:dyDescent="0.45">
      <c r="A104" s="1" t="s">
        <v>334</v>
      </c>
      <c r="B104" s="1" t="s">
        <v>335</v>
      </c>
      <c r="C104" s="12">
        <v>42086</v>
      </c>
      <c r="D104" s="12">
        <f t="shared" si="17"/>
        <v>41452.03</v>
      </c>
      <c r="E104" s="1">
        <v>7</v>
      </c>
      <c r="F104" s="2">
        <v>0.2</v>
      </c>
      <c r="G104" s="2">
        <v>0.35</v>
      </c>
      <c r="H104" s="2">
        <v>0.5</v>
      </c>
      <c r="J104" s="4"/>
      <c r="K104" s="4"/>
      <c r="L104" s="4">
        <v>41452.03</v>
      </c>
      <c r="M104" s="4"/>
      <c r="O104" s="14">
        <f t="shared" si="18"/>
        <v>-633.97000000000116</v>
      </c>
      <c r="P104" s="15">
        <f t="shared" si="19"/>
        <v>-1.5063679133203469E-2</v>
      </c>
      <c r="R104" s="12">
        <f t="shared" si="20"/>
        <v>41452.03</v>
      </c>
      <c r="S104" s="12">
        <f t="shared" si="21"/>
        <v>8290.4060000000009</v>
      </c>
      <c r="T104" s="12">
        <f t="shared" si="22"/>
        <v>14508.210499999999</v>
      </c>
      <c r="U104" s="12">
        <f t="shared" si="23"/>
        <v>20726.014999999999</v>
      </c>
      <c r="V104" s="17"/>
      <c r="W104" s="6" t="str">
        <f t="shared" si="24"/>
        <v>No</v>
      </c>
      <c r="X104" s="6" t="str">
        <f t="shared" si="25"/>
        <v>Yes</v>
      </c>
      <c r="AA104" s="6" t="str">
        <f t="shared" si="26"/>
        <v>No</v>
      </c>
      <c r="AB104" s="6" t="str">
        <f t="shared" si="27"/>
        <v>Yes</v>
      </c>
      <c r="AE104" s="6" t="str">
        <f t="shared" si="29"/>
        <v>No</v>
      </c>
      <c r="AF104" s="6" t="str">
        <f t="shared" si="30"/>
        <v>Yes</v>
      </c>
      <c r="AH104" s="17"/>
      <c r="AI104" s="6" t="s">
        <v>525</v>
      </c>
      <c r="AK104" s="6" t="s">
        <v>525</v>
      </c>
      <c r="AM104" s="6" t="s">
        <v>525</v>
      </c>
    </row>
    <row r="105" spans="1:45" x14ac:dyDescent="0.45">
      <c r="A105" s="1" t="s">
        <v>337</v>
      </c>
      <c r="B105" s="1" t="s">
        <v>338</v>
      </c>
      <c r="C105" s="12">
        <v>38024</v>
      </c>
      <c r="D105" s="12">
        <f t="shared" si="17"/>
        <v>36787.870000000003</v>
      </c>
      <c r="E105" s="1">
        <v>7</v>
      </c>
      <c r="F105" s="2">
        <v>0.1</v>
      </c>
      <c r="G105" s="2">
        <v>0.2</v>
      </c>
      <c r="H105" s="2">
        <v>0.3</v>
      </c>
      <c r="J105" s="4"/>
      <c r="K105" s="4"/>
      <c r="L105" s="4">
        <v>36787.870000000003</v>
      </c>
      <c r="M105" s="4"/>
      <c r="O105" s="14">
        <f t="shared" si="18"/>
        <v>-1236.1299999999974</v>
      </c>
      <c r="P105" s="15">
        <f t="shared" si="19"/>
        <v>-3.2509204712812892E-2</v>
      </c>
      <c r="R105" s="12">
        <f t="shared" si="20"/>
        <v>36787.870000000003</v>
      </c>
      <c r="S105" s="12">
        <f t="shared" si="21"/>
        <v>3678.7870000000003</v>
      </c>
      <c r="T105" s="12">
        <f t="shared" si="22"/>
        <v>7357.5740000000005</v>
      </c>
      <c r="U105" s="12">
        <f t="shared" si="23"/>
        <v>11036.361000000001</v>
      </c>
      <c r="V105" s="17"/>
      <c r="W105" s="6" t="str">
        <f t="shared" si="24"/>
        <v>No</v>
      </c>
      <c r="X105" s="6" t="str">
        <f t="shared" si="25"/>
        <v>Yes</v>
      </c>
      <c r="AA105" s="6" t="str">
        <f t="shared" si="26"/>
        <v>No</v>
      </c>
      <c r="AB105" s="6" t="str">
        <f t="shared" si="27"/>
        <v>Yes</v>
      </c>
      <c r="AE105" s="6" t="str">
        <f t="shared" si="29"/>
        <v>No</v>
      </c>
      <c r="AF105" s="6" t="str">
        <f t="shared" si="30"/>
        <v>Yes</v>
      </c>
      <c r="AH105" s="17"/>
      <c r="AI105" s="6" t="s">
        <v>525</v>
      </c>
      <c r="AK105" s="6" t="s">
        <v>525</v>
      </c>
      <c r="AM105" s="6" t="s">
        <v>525</v>
      </c>
    </row>
    <row r="106" spans="1:45" x14ac:dyDescent="0.45">
      <c r="A106" s="1" t="s">
        <v>340</v>
      </c>
      <c r="B106" s="1" t="s">
        <v>341</v>
      </c>
      <c r="C106" s="12">
        <v>64826</v>
      </c>
      <c r="D106" s="12">
        <f t="shared" si="17"/>
        <v>65316.070000000007</v>
      </c>
      <c r="E106" s="1">
        <v>7</v>
      </c>
      <c r="F106" s="2">
        <v>0.1</v>
      </c>
      <c r="G106" s="2">
        <v>0.2</v>
      </c>
      <c r="H106" s="2">
        <v>0.3</v>
      </c>
      <c r="J106" s="4"/>
      <c r="K106" s="4"/>
      <c r="L106" s="4"/>
      <c r="M106" s="4">
        <v>65316.070000000007</v>
      </c>
      <c r="O106" s="14">
        <f t="shared" si="18"/>
        <v>490.07000000000698</v>
      </c>
      <c r="P106" s="15">
        <f t="shared" si="19"/>
        <v>7.5597753987598649E-3</v>
      </c>
      <c r="R106" s="12">
        <f t="shared" si="20"/>
        <v>65316.070000000007</v>
      </c>
      <c r="S106" s="12">
        <f t="shared" si="21"/>
        <v>6531.6070000000009</v>
      </c>
      <c r="T106" s="12">
        <f t="shared" si="22"/>
        <v>13063.214000000002</v>
      </c>
      <c r="U106" s="12">
        <f t="shared" si="23"/>
        <v>19594.821</v>
      </c>
      <c r="V106" s="17"/>
      <c r="W106" s="6" t="str">
        <f t="shared" si="24"/>
        <v>No</v>
      </c>
      <c r="X106" s="6" t="str">
        <f t="shared" si="25"/>
        <v>No</v>
      </c>
      <c r="Y106" s="6" t="s">
        <v>538</v>
      </c>
      <c r="AA106" s="6" t="str">
        <f t="shared" si="26"/>
        <v>No</v>
      </c>
      <c r="AB106" s="6" t="str">
        <f t="shared" si="27"/>
        <v>No</v>
      </c>
      <c r="AC106" s="6" t="str">
        <f t="shared" si="28"/>
        <v>Yes</v>
      </c>
      <c r="AE106" s="6" t="str">
        <f t="shared" si="29"/>
        <v>No</v>
      </c>
      <c r="AF106" s="6" t="str">
        <f t="shared" si="30"/>
        <v>No</v>
      </c>
      <c r="AG106" s="6" t="str">
        <f t="shared" si="31"/>
        <v>Yes</v>
      </c>
      <c r="AH106" s="17"/>
      <c r="AI106" s="6" t="s">
        <v>526</v>
      </c>
      <c r="AK106" s="6" t="s">
        <v>526</v>
      </c>
      <c r="AM106" s="6" t="s">
        <v>526</v>
      </c>
    </row>
    <row r="107" spans="1:45" x14ac:dyDescent="0.45">
      <c r="A107" s="1" t="s">
        <v>343</v>
      </c>
      <c r="B107" s="1" t="s">
        <v>344</v>
      </c>
      <c r="C107" s="12">
        <v>20162</v>
      </c>
      <c r="D107" s="12">
        <f t="shared" si="17"/>
        <v>20354.89</v>
      </c>
      <c r="E107" s="1">
        <v>7</v>
      </c>
      <c r="F107" s="2">
        <v>0.1</v>
      </c>
      <c r="G107" s="2">
        <v>0.2</v>
      </c>
      <c r="H107" s="2">
        <v>0.3</v>
      </c>
      <c r="J107" s="4"/>
      <c r="K107" s="4"/>
      <c r="L107" s="4">
        <v>20354.89</v>
      </c>
      <c r="M107" s="4"/>
      <c r="O107" s="14">
        <f t="shared" si="18"/>
        <v>192.88999999999942</v>
      </c>
      <c r="P107" s="15">
        <f t="shared" si="19"/>
        <v>9.5670072413450765E-3</v>
      </c>
      <c r="R107" s="12">
        <f t="shared" si="20"/>
        <v>20354.89</v>
      </c>
      <c r="S107" s="12">
        <f t="shared" si="21"/>
        <v>2035.489</v>
      </c>
      <c r="T107" s="12">
        <f t="shared" si="22"/>
        <v>4070.9780000000001</v>
      </c>
      <c r="U107" s="12">
        <f t="shared" si="23"/>
        <v>6106.4669999999996</v>
      </c>
      <c r="V107" s="17"/>
      <c r="W107" s="6" t="str">
        <f t="shared" si="24"/>
        <v>No</v>
      </c>
      <c r="X107" s="6" t="str">
        <f t="shared" si="25"/>
        <v>Yes</v>
      </c>
      <c r="AA107" s="6" t="str">
        <f t="shared" si="26"/>
        <v>No</v>
      </c>
      <c r="AB107" s="6" t="str">
        <f t="shared" si="27"/>
        <v>Yes</v>
      </c>
      <c r="AE107" s="6" t="str">
        <f t="shared" si="29"/>
        <v>No</v>
      </c>
      <c r="AF107" s="6" t="str">
        <f t="shared" si="30"/>
        <v>Yes</v>
      </c>
      <c r="AH107" s="17"/>
      <c r="AI107" s="6" t="s">
        <v>525</v>
      </c>
      <c r="AK107" s="6" t="s">
        <v>525</v>
      </c>
      <c r="AM107" s="6" t="s">
        <v>525</v>
      </c>
    </row>
    <row r="108" spans="1:45" x14ac:dyDescent="0.45">
      <c r="A108" s="1" t="s">
        <v>346</v>
      </c>
      <c r="B108" s="1" t="s">
        <v>347</v>
      </c>
      <c r="C108" s="12">
        <v>80833</v>
      </c>
      <c r="D108" s="12">
        <f t="shared" si="17"/>
        <v>79750.84</v>
      </c>
      <c r="E108" s="1">
        <v>7</v>
      </c>
      <c r="F108" s="2">
        <v>0.25</v>
      </c>
      <c r="G108" s="2">
        <v>0.4</v>
      </c>
      <c r="H108" s="2">
        <v>0.6</v>
      </c>
      <c r="J108" s="4"/>
      <c r="K108" s="4">
        <v>72972.899999999994</v>
      </c>
      <c r="L108" s="4">
        <v>6777.94</v>
      </c>
      <c r="M108" s="4"/>
      <c r="O108" s="14">
        <f t="shared" si="18"/>
        <v>-1082.1600000000035</v>
      </c>
      <c r="P108" s="15">
        <f t="shared" si="19"/>
        <v>-1.3387601598357149E-2</v>
      </c>
      <c r="R108" s="12">
        <f t="shared" si="20"/>
        <v>79750.84</v>
      </c>
      <c r="S108" s="12">
        <f t="shared" si="21"/>
        <v>19937.71</v>
      </c>
      <c r="T108" s="12">
        <f t="shared" si="22"/>
        <v>31900.335999999999</v>
      </c>
      <c r="U108" s="12">
        <f t="shared" si="23"/>
        <v>47850.503999999994</v>
      </c>
      <c r="V108" s="17"/>
      <c r="W108" s="6" t="str">
        <f t="shared" si="24"/>
        <v>Yes</v>
      </c>
      <c r="AA108" s="6" t="str">
        <f t="shared" si="26"/>
        <v>Yes</v>
      </c>
      <c r="AE108" s="6" t="str">
        <f t="shared" si="29"/>
        <v>Yes</v>
      </c>
      <c r="AH108" s="17"/>
      <c r="AI108" s="6" t="s">
        <v>540</v>
      </c>
      <c r="AK108" s="6" t="s">
        <v>540</v>
      </c>
      <c r="AM108" s="6" t="s">
        <v>540</v>
      </c>
    </row>
    <row r="109" spans="1:45" x14ac:dyDescent="0.45">
      <c r="A109" s="1" t="s">
        <v>349</v>
      </c>
      <c r="B109" s="1" t="s">
        <v>350</v>
      </c>
      <c r="C109" s="12">
        <v>24923</v>
      </c>
      <c r="D109" s="12">
        <f t="shared" si="17"/>
        <v>24254.550000000003</v>
      </c>
      <c r="E109" s="1">
        <v>7</v>
      </c>
      <c r="F109" s="2">
        <v>0.1</v>
      </c>
      <c r="G109" s="2">
        <v>0.2</v>
      </c>
      <c r="H109" s="2">
        <v>0.3</v>
      </c>
      <c r="J109" s="4"/>
      <c r="K109" s="4"/>
      <c r="L109" s="4"/>
      <c r="M109" s="4">
        <v>24254.550000000003</v>
      </c>
      <c r="O109" s="14">
        <f t="shared" si="18"/>
        <v>-668.44999999999709</v>
      </c>
      <c r="P109" s="15">
        <f t="shared" si="19"/>
        <v>-2.6820607471010595E-2</v>
      </c>
      <c r="R109" s="12">
        <f t="shared" si="20"/>
        <v>24254.550000000003</v>
      </c>
      <c r="S109" s="12">
        <f t="shared" si="21"/>
        <v>2425.4550000000004</v>
      </c>
      <c r="T109" s="12">
        <f t="shared" si="22"/>
        <v>4850.9100000000008</v>
      </c>
      <c r="U109" s="12">
        <f t="shared" si="23"/>
        <v>7276.3650000000007</v>
      </c>
      <c r="V109" s="17"/>
      <c r="W109" s="6" t="str">
        <f t="shared" si="24"/>
        <v>No</v>
      </c>
      <c r="X109" s="6" t="str">
        <f t="shared" si="25"/>
        <v>No</v>
      </c>
      <c r="Y109" s="6" t="s">
        <v>538</v>
      </c>
      <c r="AA109" s="6" t="str">
        <f t="shared" si="26"/>
        <v>No</v>
      </c>
      <c r="AB109" s="6" t="str">
        <f t="shared" si="27"/>
        <v>No</v>
      </c>
      <c r="AC109" s="6" t="str">
        <f t="shared" si="28"/>
        <v>Yes</v>
      </c>
      <c r="AE109" s="6" t="str">
        <f t="shared" si="29"/>
        <v>No</v>
      </c>
      <c r="AF109" s="6" t="str">
        <f t="shared" si="30"/>
        <v>No</v>
      </c>
      <c r="AG109" s="6" t="str">
        <f t="shared" si="31"/>
        <v>Yes</v>
      </c>
      <c r="AH109" s="17"/>
      <c r="AI109" s="6" t="s">
        <v>526</v>
      </c>
      <c r="AK109" s="6" t="s">
        <v>526</v>
      </c>
      <c r="AM109" s="6" t="s">
        <v>526</v>
      </c>
    </row>
    <row r="110" spans="1:45" x14ac:dyDescent="0.45">
      <c r="A110" s="1" t="s">
        <v>352</v>
      </c>
      <c r="B110" s="1" t="s">
        <v>353</v>
      </c>
      <c r="C110" s="12">
        <v>121061</v>
      </c>
      <c r="D110" s="12">
        <f t="shared" si="17"/>
        <v>122671.43</v>
      </c>
      <c r="E110" s="1">
        <v>7</v>
      </c>
      <c r="F110" s="2">
        <v>0.3</v>
      </c>
      <c r="G110" s="2">
        <v>0.5</v>
      </c>
      <c r="H110" s="2">
        <v>0.7</v>
      </c>
      <c r="J110" s="4"/>
      <c r="K110" s="4">
        <v>122671.43</v>
      </c>
      <c r="L110" s="4"/>
      <c r="M110" s="4"/>
      <c r="O110" s="14">
        <f t="shared" si="18"/>
        <v>1610.429999999993</v>
      </c>
      <c r="P110" s="15">
        <f t="shared" si="19"/>
        <v>1.3302632557140558E-2</v>
      </c>
      <c r="R110" s="12">
        <f t="shared" si="20"/>
        <v>122671.43</v>
      </c>
      <c r="S110" s="12">
        <f t="shared" si="21"/>
        <v>36801.428999999996</v>
      </c>
      <c r="T110" s="12">
        <f t="shared" si="22"/>
        <v>61335.714999999997</v>
      </c>
      <c r="U110" s="12">
        <f t="shared" si="23"/>
        <v>85870.000999999989</v>
      </c>
      <c r="V110" s="17"/>
      <c r="W110" s="6" t="str">
        <f t="shared" si="24"/>
        <v>Yes</v>
      </c>
      <c r="AA110" s="6" t="str">
        <f t="shared" si="26"/>
        <v>Yes</v>
      </c>
      <c r="AE110" s="6" t="str">
        <f t="shared" si="29"/>
        <v>Yes</v>
      </c>
      <c r="AH110" s="17"/>
      <c r="AI110" s="6" t="s">
        <v>540</v>
      </c>
      <c r="AK110" s="6" t="s">
        <v>540</v>
      </c>
      <c r="AM110" s="6" t="s">
        <v>540</v>
      </c>
    </row>
    <row r="111" spans="1:45" x14ac:dyDescent="0.45">
      <c r="A111" s="1" t="s">
        <v>355</v>
      </c>
      <c r="B111" s="1" t="s">
        <v>356</v>
      </c>
      <c r="C111" s="12">
        <v>20095</v>
      </c>
      <c r="D111" s="12">
        <f t="shared" si="17"/>
        <v>19388.439999999999</v>
      </c>
      <c r="E111" s="1">
        <v>7</v>
      </c>
      <c r="F111" s="2">
        <v>0.15</v>
      </c>
      <c r="G111" s="2">
        <v>0.3</v>
      </c>
      <c r="H111" s="2">
        <v>0.4</v>
      </c>
      <c r="J111" s="4"/>
      <c r="K111" s="4"/>
      <c r="L111" s="4">
        <v>19388.439999999999</v>
      </c>
      <c r="M111" s="4"/>
      <c r="O111" s="14">
        <f t="shared" si="18"/>
        <v>-706.56000000000131</v>
      </c>
      <c r="P111" s="15">
        <f t="shared" si="19"/>
        <v>-3.5160985319731344E-2</v>
      </c>
      <c r="R111" s="12">
        <f t="shared" si="20"/>
        <v>19388.439999999999</v>
      </c>
      <c r="S111" s="12">
        <f t="shared" si="21"/>
        <v>2908.2659999999996</v>
      </c>
      <c r="T111" s="12">
        <f t="shared" si="22"/>
        <v>5816.5319999999992</v>
      </c>
      <c r="U111" s="12">
        <f t="shared" si="23"/>
        <v>7755.3760000000002</v>
      </c>
      <c r="V111" s="17"/>
      <c r="W111" s="6" t="str">
        <f t="shared" si="24"/>
        <v>No</v>
      </c>
      <c r="X111" s="6" t="str">
        <f t="shared" si="25"/>
        <v>Yes</v>
      </c>
      <c r="AA111" s="6" t="str">
        <f t="shared" si="26"/>
        <v>No</v>
      </c>
      <c r="AB111" s="6" t="str">
        <f t="shared" si="27"/>
        <v>Yes</v>
      </c>
      <c r="AE111" s="6" t="str">
        <f t="shared" si="29"/>
        <v>No</v>
      </c>
      <c r="AF111" s="6" t="str">
        <f t="shared" si="30"/>
        <v>Yes</v>
      </c>
      <c r="AH111" s="17"/>
      <c r="AI111" s="6" t="s">
        <v>525</v>
      </c>
      <c r="AK111" s="6" t="s">
        <v>525</v>
      </c>
      <c r="AM111" s="6" t="s">
        <v>525</v>
      </c>
    </row>
    <row r="112" spans="1:45" x14ac:dyDescent="0.45">
      <c r="A112" s="1" t="s">
        <v>358</v>
      </c>
      <c r="B112" s="1" t="s">
        <v>359</v>
      </c>
      <c r="C112" s="12">
        <v>64764</v>
      </c>
      <c r="D112" s="12">
        <f t="shared" si="17"/>
        <v>71270.22</v>
      </c>
      <c r="E112" s="1">
        <v>7</v>
      </c>
      <c r="F112" s="2">
        <v>0.1</v>
      </c>
      <c r="G112" s="2">
        <v>0.2</v>
      </c>
      <c r="H112" s="2">
        <v>0.3</v>
      </c>
      <c r="J112" s="4"/>
      <c r="K112" s="4"/>
      <c r="L112" s="4">
        <v>71270.22</v>
      </c>
      <c r="M112" s="4"/>
      <c r="O112" s="14">
        <f t="shared" si="18"/>
        <v>6506.2200000000012</v>
      </c>
      <c r="P112" s="15">
        <f t="shared" si="19"/>
        <v>0.10046044098573283</v>
      </c>
      <c r="R112" s="12">
        <f t="shared" si="20"/>
        <v>71270.22</v>
      </c>
      <c r="S112" s="12">
        <f t="shared" si="21"/>
        <v>7127.0220000000008</v>
      </c>
      <c r="T112" s="12">
        <f t="shared" si="22"/>
        <v>14254.044000000002</v>
      </c>
      <c r="U112" s="12">
        <f t="shared" si="23"/>
        <v>21381.065999999999</v>
      </c>
      <c r="V112" s="17"/>
      <c r="W112" s="6" t="str">
        <f t="shared" si="24"/>
        <v>No</v>
      </c>
      <c r="X112" s="6" t="str">
        <f t="shared" si="25"/>
        <v>Yes</v>
      </c>
      <c r="AA112" s="6" t="str">
        <f t="shared" si="26"/>
        <v>No</v>
      </c>
      <c r="AB112" s="6" t="str">
        <f t="shared" si="27"/>
        <v>Yes</v>
      </c>
      <c r="AE112" s="6" t="str">
        <f t="shared" si="29"/>
        <v>No</v>
      </c>
      <c r="AF112" s="6" t="str">
        <f t="shared" si="30"/>
        <v>Yes</v>
      </c>
      <c r="AH112" s="17"/>
      <c r="AI112" s="6" t="s">
        <v>525</v>
      </c>
      <c r="AK112" s="6" t="s">
        <v>525</v>
      </c>
      <c r="AM112" s="6" t="s">
        <v>525</v>
      </c>
    </row>
    <row r="113" spans="1:45" x14ac:dyDescent="0.45">
      <c r="A113" s="1" t="s">
        <v>55</v>
      </c>
      <c r="B113" s="1" t="s">
        <v>56</v>
      </c>
      <c r="C113" s="12">
        <v>830151</v>
      </c>
      <c r="D113" s="12">
        <f t="shared" si="17"/>
        <v>883049.26</v>
      </c>
      <c r="E113" s="1">
        <v>5</v>
      </c>
      <c r="F113" s="2">
        <v>0.3</v>
      </c>
      <c r="G113" s="2">
        <v>0.5</v>
      </c>
      <c r="H113" s="2">
        <v>0.7</v>
      </c>
      <c r="J113" s="4"/>
      <c r="K113" s="4">
        <v>795660.42</v>
      </c>
      <c r="L113" s="4">
        <v>87388.840000000011</v>
      </c>
      <c r="M113" s="4"/>
      <c r="O113" s="14">
        <f t="shared" si="18"/>
        <v>52898.260000000009</v>
      </c>
      <c r="P113" s="15">
        <f t="shared" si="19"/>
        <v>6.3721250712219832E-2</v>
      </c>
      <c r="R113" s="12">
        <f t="shared" si="20"/>
        <v>883049.26</v>
      </c>
      <c r="S113" s="12">
        <f t="shared" si="21"/>
        <v>264914.77799999999</v>
      </c>
      <c r="T113" s="12">
        <f t="shared" si="22"/>
        <v>441524.63</v>
      </c>
      <c r="U113" s="12">
        <f t="shared" si="23"/>
        <v>618134.48199999996</v>
      </c>
      <c r="V113" s="17"/>
      <c r="W113" s="6" t="str">
        <f t="shared" si="24"/>
        <v>Yes</v>
      </c>
      <c r="AA113" s="6" t="str">
        <f t="shared" si="26"/>
        <v>Yes</v>
      </c>
      <c r="AE113" s="6" t="str">
        <f t="shared" si="29"/>
        <v>Yes</v>
      </c>
      <c r="AH113" s="17"/>
      <c r="AI113" s="6" t="s">
        <v>540</v>
      </c>
      <c r="AK113" s="6" t="s">
        <v>540</v>
      </c>
      <c r="AM113" s="6" t="s">
        <v>540</v>
      </c>
    </row>
    <row r="114" spans="1:45" x14ac:dyDescent="0.45">
      <c r="A114" s="1" t="s">
        <v>361</v>
      </c>
      <c r="B114" s="1" t="s">
        <v>362</v>
      </c>
      <c r="C114" s="12">
        <v>58076</v>
      </c>
      <c r="D114" s="12">
        <f t="shared" si="17"/>
        <v>61460.909999999996</v>
      </c>
      <c r="E114" s="1">
        <v>7</v>
      </c>
      <c r="F114" s="2">
        <v>0.05</v>
      </c>
      <c r="G114" s="2">
        <v>0.1</v>
      </c>
      <c r="H114" s="2">
        <v>0.2</v>
      </c>
      <c r="J114" s="4"/>
      <c r="K114" s="4"/>
      <c r="L114" s="4">
        <v>61460.909999999996</v>
      </c>
      <c r="M114" s="4"/>
      <c r="O114" s="14">
        <f t="shared" si="18"/>
        <v>3384.9099999999962</v>
      </c>
      <c r="P114" s="15">
        <f t="shared" si="19"/>
        <v>5.8284144913561473E-2</v>
      </c>
      <c r="R114" s="12">
        <f t="shared" si="20"/>
        <v>61460.909999999996</v>
      </c>
      <c r="S114" s="12">
        <f t="shared" si="21"/>
        <v>3073.0455000000002</v>
      </c>
      <c r="T114" s="12">
        <f t="shared" si="22"/>
        <v>6146.0910000000003</v>
      </c>
      <c r="U114" s="12">
        <f t="shared" si="23"/>
        <v>12292.182000000001</v>
      </c>
      <c r="V114" s="17"/>
      <c r="W114" s="6" t="str">
        <f t="shared" si="24"/>
        <v>No</v>
      </c>
      <c r="X114" s="6" t="str">
        <f t="shared" si="25"/>
        <v>Yes</v>
      </c>
      <c r="AA114" s="6" t="str">
        <f t="shared" si="26"/>
        <v>No</v>
      </c>
      <c r="AB114" s="6" t="str">
        <f t="shared" si="27"/>
        <v>Yes</v>
      </c>
      <c r="AE114" s="6" t="str">
        <f t="shared" si="29"/>
        <v>No</v>
      </c>
      <c r="AF114" s="6" t="str">
        <f t="shared" si="30"/>
        <v>Yes</v>
      </c>
      <c r="AH114" s="17"/>
      <c r="AI114" s="6" t="s">
        <v>525</v>
      </c>
      <c r="AK114" s="6" t="s">
        <v>525</v>
      </c>
      <c r="AM114" s="6" t="s">
        <v>525</v>
      </c>
    </row>
    <row r="115" spans="1:45" x14ac:dyDescent="0.45">
      <c r="A115" s="1" t="s">
        <v>364</v>
      </c>
      <c r="B115" s="1" t="s">
        <v>365</v>
      </c>
      <c r="C115" s="12">
        <v>51609</v>
      </c>
      <c r="D115" s="12">
        <f t="shared" si="17"/>
        <v>53905.29</v>
      </c>
      <c r="E115" s="1">
        <v>7</v>
      </c>
      <c r="F115" s="2">
        <v>0.15</v>
      </c>
      <c r="G115" s="2">
        <v>0.3</v>
      </c>
      <c r="H115" s="2">
        <v>0.4</v>
      </c>
      <c r="J115" s="4"/>
      <c r="K115" s="4"/>
      <c r="L115" s="4">
        <v>53905.29</v>
      </c>
      <c r="M115" s="4"/>
      <c r="O115" s="14">
        <f t="shared" si="18"/>
        <v>2296.2900000000009</v>
      </c>
      <c r="P115" s="15">
        <f t="shared" si="19"/>
        <v>4.4493983607510335E-2</v>
      </c>
      <c r="R115" s="12">
        <f t="shared" si="20"/>
        <v>53905.29</v>
      </c>
      <c r="S115" s="12">
        <f t="shared" si="21"/>
        <v>8085.7934999999998</v>
      </c>
      <c r="T115" s="12">
        <f t="shared" si="22"/>
        <v>16171.587</v>
      </c>
      <c r="U115" s="12">
        <f t="shared" si="23"/>
        <v>21562.116000000002</v>
      </c>
      <c r="V115" s="17"/>
      <c r="W115" s="6" t="str">
        <f t="shared" si="24"/>
        <v>No</v>
      </c>
      <c r="X115" s="6" t="str">
        <f t="shared" si="25"/>
        <v>Yes</v>
      </c>
      <c r="AA115" s="6" t="str">
        <f t="shared" si="26"/>
        <v>No</v>
      </c>
      <c r="AB115" s="6" t="str">
        <f t="shared" si="27"/>
        <v>Yes</v>
      </c>
      <c r="AE115" s="6" t="str">
        <f t="shared" si="29"/>
        <v>No</v>
      </c>
      <c r="AF115" s="6" t="str">
        <f t="shared" si="30"/>
        <v>Yes</v>
      </c>
      <c r="AH115" s="17"/>
      <c r="AI115" s="6" t="s">
        <v>525</v>
      </c>
      <c r="AK115" s="6" t="s">
        <v>525</v>
      </c>
      <c r="AM115" s="6" t="s">
        <v>525</v>
      </c>
    </row>
    <row r="116" spans="1:45" x14ac:dyDescent="0.45">
      <c r="A116" s="1" t="s">
        <v>367</v>
      </c>
      <c r="B116" s="1" t="s">
        <v>368</v>
      </c>
      <c r="C116" s="12">
        <v>103743</v>
      </c>
      <c r="D116" s="12">
        <f t="shared" si="17"/>
        <v>107096.55</v>
      </c>
      <c r="E116" s="1">
        <v>7</v>
      </c>
      <c r="F116" s="2">
        <v>0.25</v>
      </c>
      <c r="G116" s="2">
        <v>0.4</v>
      </c>
      <c r="H116" s="2">
        <v>0.6</v>
      </c>
      <c r="J116" s="4"/>
      <c r="K116" s="4">
        <v>52636.98</v>
      </c>
      <c r="L116" s="4">
        <v>54459.57</v>
      </c>
      <c r="M116" s="4"/>
      <c r="O116" s="14">
        <f t="shared" si="18"/>
        <v>3353.5500000000029</v>
      </c>
      <c r="P116" s="15">
        <f t="shared" si="19"/>
        <v>3.2325554495243082E-2</v>
      </c>
      <c r="R116" s="12">
        <f t="shared" si="20"/>
        <v>107096.55</v>
      </c>
      <c r="S116" s="12">
        <f t="shared" si="21"/>
        <v>26774.137500000001</v>
      </c>
      <c r="T116" s="12">
        <f t="shared" si="22"/>
        <v>42838.62</v>
      </c>
      <c r="U116" s="12">
        <f t="shared" si="23"/>
        <v>64257.93</v>
      </c>
      <c r="V116" s="17"/>
      <c r="W116" s="6" t="str">
        <f t="shared" si="24"/>
        <v>Yes</v>
      </c>
      <c r="AA116" s="6" t="str">
        <f t="shared" si="26"/>
        <v>Yes</v>
      </c>
      <c r="AE116" s="6" t="str">
        <f t="shared" si="29"/>
        <v>No</v>
      </c>
      <c r="AF116" s="6" t="str">
        <f t="shared" si="30"/>
        <v>No</v>
      </c>
      <c r="AG116" s="6" t="str">
        <f t="shared" si="31"/>
        <v>No</v>
      </c>
      <c r="AH116" s="17"/>
      <c r="AI116" s="6" t="s">
        <v>540</v>
      </c>
      <c r="AK116" s="6" t="s">
        <v>540</v>
      </c>
      <c r="AM116" s="6" t="s">
        <v>541</v>
      </c>
      <c r="AO116" s="23" t="s">
        <v>538</v>
      </c>
      <c r="AP116" s="24"/>
      <c r="AQ116" s="24"/>
      <c r="AR116" s="11">
        <f>U116-K116</f>
        <v>11620.949999999997</v>
      </c>
      <c r="AS116" s="19">
        <f>AR116/L116*100</f>
        <v>21.338673808845712</v>
      </c>
    </row>
    <row r="117" spans="1:45" x14ac:dyDescent="0.45">
      <c r="A117" s="1" t="s">
        <v>370</v>
      </c>
      <c r="B117" s="1" t="s">
        <v>371</v>
      </c>
      <c r="C117" s="12">
        <v>21273</v>
      </c>
      <c r="D117" s="12">
        <f t="shared" si="17"/>
        <v>21348.73</v>
      </c>
      <c r="E117" s="1">
        <v>7</v>
      </c>
      <c r="F117" s="2">
        <v>0.2</v>
      </c>
      <c r="G117" s="2">
        <v>0.35</v>
      </c>
      <c r="H117" s="2">
        <v>0.5</v>
      </c>
      <c r="J117" s="4"/>
      <c r="K117" s="4"/>
      <c r="L117" s="4">
        <v>21348.73</v>
      </c>
      <c r="M117" s="4"/>
      <c r="O117" s="14">
        <f t="shared" si="18"/>
        <v>75.729999999999563</v>
      </c>
      <c r="P117" s="15">
        <f t="shared" si="19"/>
        <v>3.5599116250646153E-3</v>
      </c>
      <c r="R117" s="12">
        <f t="shared" si="20"/>
        <v>21348.73</v>
      </c>
      <c r="S117" s="12">
        <f t="shared" si="21"/>
        <v>4269.7460000000001</v>
      </c>
      <c r="T117" s="12">
        <f t="shared" si="22"/>
        <v>7472.0554999999995</v>
      </c>
      <c r="U117" s="12">
        <f t="shared" si="23"/>
        <v>10674.365</v>
      </c>
      <c r="V117" s="17"/>
      <c r="W117" s="6" t="str">
        <f t="shared" si="24"/>
        <v>No</v>
      </c>
      <c r="X117" s="6" t="str">
        <f t="shared" si="25"/>
        <v>Yes</v>
      </c>
      <c r="AA117" s="6" t="str">
        <f t="shared" si="26"/>
        <v>No</v>
      </c>
      <c r="AB117" s="6" t="str">
        <f t="shared" si="27"/>
        <v>Yes</v>
      </c>
      <c r="AE117" s="6" t="str">
        <f t="shared" si="29"/>
        <v>No</v>
      </c>
      <c r="AF117" s="6" t="str">
        <f t="shared" si="30"/>
        <v>Yes</v>
      </c>
      <c r="AH117" s="17"/>
      <c r="AI117" s="6" t="s">
        <v>525</v>
      </c>
      <c r="AK117" s="6" t="s">
        <v>525</v>
      </c>
      <c r="AM117" s="6" t="s">
        <v>525</v>
      </c>
    </row>
    <row r="118" spans="1:45" x14ac:dyDescent="0.45">
      <c r="A118" s="1" t="s">
        <v>373</v>
      </c>
      <c r="B118" s="1" t="s">
        <v>374</v>
      </c>
      <c r="C118" s="12">
        <v>75508</v>
      </c>
      <c r="D118" s="12">
        <f t="shared" si="17"/>
        <v>75151.13</v>
      </c>
      <c r="E118" s="1">
        <v>7</v>
      </c>
      <c r="F118" s="2">
        <v>0.05</v>
      </c>
      <c r="G118" s="2">
        <v>0.1</v>
      </c>
      <c r="H118" s="2">
        <v>0.2</v>
      </c>
      <c r="J118" s="4"/>
      <c r="K118" s="4"/>
      <c r="L118" s="4">
        <v>75151.13</v>
      </c>
      <c r="M118" s="4"/>
      <c r="O118" s="14">
        <f t="shared" si="18"/>
        <v>-356.86999999999534</v>
      </c>
      <c r="P118" s="15">
        <f t="shared" si="19"/>
        <v>-4.7262541717433297E-3</v>
      </c>
      <c r="R118" s="12">
        <f t="shared" si="20"/>
        <v>75151.13</v>
      </c>
      <c r="S118" s="12">
        <f t="shared" si="21"/>
        <v>3757.5565000000006</v>
      </c>
      <c r="T118" s="12">
        <f t="shared" si="22"/>
        <v>7515.1130000000012</v>
      </c>
      <c r="U118" s="12">
        <f t="shared" si="23"/>
        <v>15030.226000000002</v>
      </c>
      <c r="V118" s="17"/>
      <c r="W118" s="6" t="str">
        <f t="shared" si="24"/>
        <v>No</v>
      </c>
      <c r="X118" s="6" t="str">
        <f t="shared" si="25"/>
        <v>Yes</v>
      </c>
      <c r="AA118" s="6" t="str">
        <f t="shared" si="26"/>
        <v>No</v>
      </c>
      <c r="AB118" s="6" t="str">
        <f t="shared" si="27"/>
        <v>Yes</v>
      </c>
      <c r="AE118" s="6" t="str">
        <f t="shared" si="29"/>
        <v>No</v>
      </c>
      <c r="AF118" s="6" t="str">
        <f t="shared" si="30"/>
        <v>Yes</v>
      </c>
      <c r="AH118" s="17"/>
      <c r="AI118" s="6" t="s">
        <v>525</v>
      </c>
      <c r="AK118" s="6" t="s">
        <v>525</v>
      </c>
      <c r="AM118" s="6" t="s">
        <v>525</v>
      </c>
    </row>
    <row r="119" spans="1:45" x14ac:dyDescent="0.45">
      <c r="A119" s="1" t="s">
        <v>376</v>
      </c>
      <c r="B119" s="1" t="s">
        <v>377</v>
      </c>
      <c r="C119" s="12">
        <v>22228</v>
      </c>
      <c r="D119" s="12">
        <f t="shared" si="17"/>
        <v>22058.07</v>
      </c>
      <c r="E119" s="1">
        <v>7</v>
      </c>
      <c r="F119" s="2">
        <v>0.1</v>
      </c>
      <c r="G119" s="2">
        <v>0.2</v>
      </c>
      <c r="H119" s="2">
        <v>0.3</v>
      </c>
      <c r="J119" s="4"/>
      <c r="K119" s="4"/>
      <c r="L119" s="4">
        <v>22058.07</v>
      </c>
      <c r="M119" s="4"/>
      <c r="O119" s="14">
        <f t="shared" si="18"/>
        <v>-169.93000000000029</v>
      </c>
      <c r="P119" s="15">
        <f t="shared" si="19"/>
        <v>-7.6448623357927067E-3</v>
      </c>
      <c r="R119" s="12">
        <f t="shared" si="20"/>
        <v>22058.07</v>
      </c>
      <c r="S119" s="12">
        <f t="shared" si="21"/>
        <v>2205.8070000000002</v>
      </c>
      <c r="T119" s="12">
        <f t="shared" si="22"/>
        <v>4411.6140000000005</v>
      </c>
      <c r="U119" s="12">
        <f t="shared" si="23"/>
        <v>6617.4209999999994</v>
      </c>
      <c r="V119" s="17"/>
      <c r="W119" s="6" t="str">
        <f t="shared" si="24"/>
        <v>No</v>
      </c>
      <c r="X119" s="6" t="str">
        <f t="shared" si="25"/>
        <v>Yes</v>
      </c>
      <c r="AA119" s="6" t="str">
        <f t="shared" si="26"/>
        <v>No</v>
      </c>
      <c r="AB119" s="6" t="str">
        <f t="shared" si="27"/>
        <v>Yes</v>
      </c>
      <c r="AE119" s="6" t="str">
        <f t="shared" si="29"/>
        <v>No</v>
      </c>
      <c r="AF119" s="6" t="str">
        <f t="shared" si="30"/>
        <v>Yes</v>
      </c>
      <c r="AH119" s="17"/>
      <c r="AI119" s="6" t="s">
        <v>525</v>
      </c>
      <c r="AK119" s="6" t="s">
        <v>525</v>
      </c>
      <c r="AM119" s="6" t="s">
        <v>525</v>
      </c>
    </row>
    <row r="120" spans="1:45" x14ac:dyDescent="0.45">
      <c r="A120" s="1" t="s">
        <v>379</v>
      </c>
      <c r="B120" s="1" t="s">
        <v>380</v>
      </c>
      <c r="C120" s="12">
        <v>50665</v>
      </c>
      <c r="D120" s="12">
        <f t="shared" si="17"/>
        <v>46907.020000000004</v>
      </c>
      <c r="E120" s="1">
        <v>7</v>
      </c>
      <c r="F120" s="2">
        <v>0.1</v>
      </c>
      <c r="G120" s="2">
        <v>0.2</v>
      </c>
      <c r="H120" s="2">
        <v>0.3</v>
      </c>
      <c r="J120" s="4"/>
      <c r="K120" s="4"/>
      <c r="L120" s="4"/>
      <c r="M120" s="4">
        <v>46907.020000000004</v>
      </c>
      <c r="O120" s="14">
        <f t="shared" si="18"/>
        <v>-3757.9799999999959</v>
      </c>
      <c r="P120" s="15">
        <f t="shared" si="19"/>
        <v>-7.417309779926963E-2</v>
      </c>
      <c r="R120" s="12">
        <f t="shared" si="20"/>
        <v>46907.020000000004</v>
      </c>
      <c r="S120" s="12">
        <f t="shared" si="21"/>
        <v>4690.7020000000002</v>
      </c>
      <c r="T120" s="12">
        <f t="shared" si="22"/>
        <v>9381.4040000000005</v>
      </c>
      <c r="U120" s="12">
        <f t="shared" si="23"/>
        <v>14072.106000000002</v>
      </c>
      <c r="V120" s="17"/>
      <c r="W120" s="6" t="str">
        <f t="shared" si="24"/>
        <v>No</v>
      </c>
      <c r="X120" s="6" t="str">
        <f t="shared" si="25"/>
        <v>No</v>
      </c>
      <c r="Y120" s="6" t="s">
        <v>538</v>
      </c>
      <c r="AA120" s="6" t="str">
        <f t="shared" si="26"/>
        <v>No</v>
      </c>
      <c r="AB120" s="6" t="str">
        <f t="shared" si="27"/>
        <v>No</v>
      </c>
      <c r="AC120" s="6" t="str">
        <f t="shared" si="28"/>
        <v>Yes</v>
      </c>
      <c r="AE120" s="6" t="str">
        <f t="shared" si="29"/>
        <v>No</v>
      </c>
      <c r="AF120" s="6" t="str">
        <f t="shared" si="30"/>
        <v>No</v>
      </c>
      <c r="AG120" s="6" t="str">
        <f t="shared" si="31"/>
        <v>Yes</v>
      </c>
      <c r="AH120" s="17"/>
      <c r="AI120" s="6" t="s">
        <v>526</v>
      </c>
      <c r="AK120" s="6" t="s">
        <v>526</v>
      </c>
      <c r="AM120" s="6" t="s">
        <v>526</v>
      </c>
    </row>
    <row r="121" spans="1:45" x14ac:dyDescent="0.45">
      <c r="A121" s="1" t="s">
        <v>382</v>
      </c>
      <c r="B121" s="1" t="s">
        <v>383</v>
      </c>
      <c r="C121" s="12">
        <v>46006</v>
      </c>
      <c r="D121" s="12">
        <f t="shared" si="17"/>
        <v>44532.35</v>
      </c>
      <c r="E121" s="1">
        <v>7</v>
      </c>
      <c r="F121" s="2">
        <v>0.05</v>
      </c>
      <c r="G121" s="2">
        <v>0.1</v>
      </c>
      <c r="H121" s="2">
        <v>0.2</v>
      </c>
      <c r="J121" s="4"/>
      <c r="K121" s="4"/>
      <c r="L121" s="4">
        <v>44532.35</v>
      </c>
      <c r="M121" s="4"/>
      <c r="O121" s="14">
        <f t="shared" si="18"/>
        <v>-1473.6500000000015</v>
      </c>
      <c r="P121" s="15">
        <f t="shared" si="19"/>
        <v>-3.2031691518497621E-2</v>
      </c>
      <c r="R121" s="12">
        <f t="shared" si="20"/>
        <v>44532.35</v>
      </c>
      <c r="S121" s="12">
        <f t="shared" si="21"/>
        <v>2226.6174999999998</v>
      </c>
      <c r="T121" s="12">
        <f t="shared" si="22"/>
        <v>4453.2349999999997</v>
      </c>
      <c r="U121" s="12">
        <f t="shared" si="23"/>
        <v>8906.4699999999993</v>
      </c>
      <c r="V121" s="17"/>
      <c r="W121" s="6" t="str">
        <f t="shared" si="24"/>
        <v>No</v>
      </c>
      <c r="X121" s="6" t="str">
        <f t="shared" si="25"/>
        <v>Yes</v>
      </c>
      <c r="AA121" s="6" t="str">
        <f t="shared" si="26"/>
        <v>No</v>
      </c>
      <c r="AB121" s="6" t="str">
        <f t="shared" si="27"/>
        <v>Yes</v>
      </c>
      <c r="AE121" s="6" t="str">
        <f t="shared" si="29"/>
        <v>No</v>
      </c>
      <c r="AF121" s="6" t="str">
        <f t="shared" si="30"/>
        <v>Yes</v>
      </c>
      <c r="AH121" s="17"/>
      <c r="AI121" s="6" t="s">
        <v>525</v>
      </c>
      <c r="AK121" s="6" t="s">
        <v>525</v>
      </c>
      <c r="AM121" s="6" t="s">
        <v>525</v>
      </c>
    </row>
    <row r="122" spans="1:45" x14ac:dyDescent="0.45">
      <c r="A122" s="1" t="s">
        <v>385</v>
      </c>
      <c r="B122" s="1" t="s">
        <v>386</v>
      </c>
      <c r="C122" s="12">
        <v>22877</v>
      </c>
      <c r="D122" s="12">
        <f t="shared" si="17"/>
        <v>22547.14</v>
      </c>
      <c r="E122" s="1">
        <v>7</v>
      </c>
      <c r="F122" s="2">
        <v>0.2</v>
      </c>
      <c r="G122" s="2">
        <v>0.35</v>
      </c>
      <c r="H122" s="2">
        <v>0.5</v>
      </c>
      <c r="J122" s="4"/>
      <c r="K122" s="4"/>
      <c r="L122" s="4">
        <v>22547.14</v>
      </c>
      <c r="M122" s="4"/>
      <c r="O122" s="14">
        <f t="shared" si="18"/>
        <v>-329.86000000000058</v>
      </c>
      <c r="P122" s="15">
        <f t="shared" si="19"/>
        <v>-1.4418848625256834E-2</v>
      </c>
      <c r="R122" s="12">
        <f t="shared" si="20"/>
        <v>22547.14</v>
      </c>
      <c r="S122" s="12">
        <f t="shared" si="21"/>
        <v>4509.4279999999999</v>
      </c>
      <c r="T122" s="12">
        <f t="shared" si="22"/>
        <v>7891.4989999999989</v>
      </c>
      <c r="U122" s="12">
        <f t="shared" si="23"/>
        <v>11273.57</v>
      </c>
      <c r="V122" s="17"/>
      <c r="W122" s="6" t="str">
        <f t="shared" si="24"/>
        <v>No</v>
      </c>
      <c r="X122" s="6" t="str">
        <f t="shared" si="25"/>
        <v>Yes</v>
      </c>
      <c r="AA122" s="6" t="str">
        <f t="shared" si="26"/>
        <v>No</v>
      </c>
      <c r="AB122" s="6" t="str">
        <f t="shared" si="27"/>
        <v>Yes</v>
      </c>
      <c r="AE122" s="6" t="str">
        <f t="shared" si="29"/>
        <v>No</v>
      </c>
      <c r="AF122" s="6" t="str">
        <f t="shared" si="30"/>
        <v>Yes</v>
      </c>
      <c r="AH122" s="17"/>
      <c r="AI122" s="6" t="s">
        <v>525</v>
      </c>
      <c r="AK122" s="6" t="s">
        <v>525</v>
      </c>
      <c r="AM122" s="6" t="s">
        <v>525</v>
      </c>
    </row>
    <row r="123" spans="1:45" x14ac:dyDescent="0.45">
      <c r="A123" s="1" t="s">
        <v>388</v>
      </c>
      <c r="B123" s="1" t="s">
        <v>389</v>
      </c>
      <c r="C123" s="12">
        <v>55141</v>
      </c>
      <c r="D123" s="12">
        <f t="shared" si="17"/>
        <v>54797.9</v>
      </c>
      <c r="E123" s="1">
        <v>7</v>
      </c>
      <c r="F123" s="2">
        <v>0.25</v>
      </c>
      <c r="G123" s="2">
        <v>0.4</v>
      </c>
      <c r="H123" s="2">
        <v>0.6</v>
      </c>
      <c r="J123" s="4"/>
      <c r="K123" s="4">
        <v>34835.01</v>
      </c>
      <c r="L123" s="4">
        <v>19962.89</v>
      </c>
      <c r="M123" s="4"/>
      <c r="O123" s="14">
        <f t="shared" si="18"/>
        <v>-343.09999999999854</v>
      </c>
      <c r="P123" s="15">
        <f t="shared" si="19"/>
        <v>-6.2222302823669966E-3</v>
      </c>
      <c r="R123" s="12">
        <f t="shared" si="20"/>
        <v>54797.9</v>
      </c>
      <c r="S123" s="12">
        <f t="shared" si="21"/>
        <v>13699.475</v>
      </c>
      <c r="T123" s="12">
        <f t="shared" si="22"/>
        <v>21919.160000000003</v>
      </c>
      <c r="U123" s="12">
        <f t="shared" si="23"/>
        <v>32878.74</v>
      </c>
      <c r="V123" s="17"/>
      <c r="W123" s="6" t="str">
        <f t="shared" si="24"/>
        <v>Yes</v>
      </c>
      <c r="AA123" s="6" t="str">
        <f t="shared" si="26"/>
        <v>Yes</v>
      </c>
      <c r="AE123" s="6" t="str">
        <f t="shared" si="29"/>
        <v>Yes</v>
      </c>
      <c r="AH123" s="17"/>
      <c r="AI123" s="6" t="s">
        <v>540</v>
      </c>
      <c r="AK123" s="6" t="s">
        <v>540</v>
      </c>
      <c r="AM123" s="6" t="s">
        <v>540</v>
      </c>
    </row>
    <row r="124" spans="1:45" x14ac:dyDescent="0.45">
      <c r="A124" s="1" t="s">
        <v>391</v>
      </c>
      <c r="B124" s="1" t="s">
        <v>392</v>
      </c>
      <c r="C124" s="12">
        <v>46219</v>
      </c>
      <c r="D124" s="12">
        <f t="shared" si="17"/>
        <v>46536.229999999996</v>
      </c>
      <c r="E124" s="1">
        <v>7</v>
      </c>
      <c r="F124" s="2">
        <v>0.15</v>
      </c>
      <c r="G124" s="2">
        <v>0.3</v>
      </c>
      <c r="H124" s="2">
        <v>0.4</v>
      </c>
      <c r="J124" s="4"/>
      <c r="K124" s="4"/>
      <c r="L124" s="4">
        <v>46536.229999999996</v>
      </c>
      <c r="M124" s="4"/>
      <c r="O124" s="14">
        <f t="shared" si="18"/>
        <v>317.22999999999593</v>
      </c>
      <c r="P124" s="15">
        <f t="shared" si="19"/>
        <v>6.8636275124947729E-3</v>
      </c>
      <c r="R124" s="12">
        <f t="shared" si="20"/>
        <v>46536.229999999996</v>
      </c>
      <c r="S124" s="12">
        <f t="shared" si="21"/>
        <v>6980.4344999999994</v>
      </c>
      <c r="T124" s="12">
        <f t="shared" si="22"/>
        <v>13960.868999999999</v>
      </c>
      <c r="U124" s="12">
        <f t="shared" si="23"/>
        <v>18614.491999999998</v>
      </c>
      <c r="V124" s="17"/>
      <c r="W124" s="6" t="str">
        <f t="shared" si="24"/>
        <v>No</v>
      </c>
      <c r="X124" s="6" t="str">
        <f t="shared" si="25"/>
        <v>Yes</v>
      </c>
      <c r="AA124" s="6" t="str">
        <f t="shared" si="26"/>
        <v>No</v>
      </c>
      <c r="AB124" s="6" t="str">
        <f t="shared" si="27"/>
        <v>Yes</v>
      </c>
      <c r="AE124" s="6" t="str">
        <f t="shared" si="29"/>
        <v>No</v>
      </c>
      <c r="AF124" s="6" t="str">
        <f t="shared" si="30"/>
        <v>Yes</v>
      </c>
      <c r="AH124" s="17"/>
      <c r="AI124" s="6" t="s">
        <v>525</v>
      </c>
      <c r="AK124" s="6" t="s">
        <v>525</v>
      </c>
      <c r="AM124" s="6" t="s">
        <v>525</v>
      </c>
    </row>
    <row r="125" spans="1:45" x14ac:dyDescent="0.45">
      <c r="A125" s="1" t="s">
        <v>394</v>
      </c>
      <c r="B125" s="1" t="s">
        <v>395</v>
      </c>
      <c r="C125" s="12">
        <v>63024</v>
      </c>
      <c r="D125" s="12">
        <f t="shared" si="17"/>
        <v>63745.110000000008</v>
      </c>
      <c r="E125" s="1">
        <v>7</v>
      </c>
      <c r="F125" s="2">
        <v>0.1</v>
      </c>
      <c r="G125" s="2">
        <v>0.2</v>
      </c>
      <c r="H125" s="2">
        <v>0.3</v>
      </c>
      <c r="J125" s="4"/>
      <c r="K125" s="4"/>
      <c r="L125" s="4">
        <v>63745.110000000008</v>
      </c>
      <c r="M125" s="4"/>
      <c r="O125" s="14">
        <f t="shared" si="18"/>
        <v>721.11000000000786</v>
      </c>
      <c r="P125" s="15">
        <f t="shared" si="19"/>
        <v>1.1441831683168441E-2</v>
      </c>
      <c r="R125" s="12">
        <f t="shared" si="20"/>
        <v>63745.110000000008</v>
      </c>
      <c r="S125" s="12">
        <f t="shared" si="21"/>
        <v>6374.5110000000013</v>
      </c>
      <c r="T125" s="12">
        <f t="shared" si="22"/>
        <v>12749.022000000003</v>
      </c>
      <c r="U125" s="12">
        <f t="shared" si="23"/>
        <v>19123.533000000003</v>
      </c>
      <c r="V125" s="17"/>
      <c r="W125" s="6" t="str">
        <f t="shared" si="24"/>
        <v>No</v>
      </c>
      <c r="X125" s="6" t="str">
        <f t="shared" si="25"/>
        <v>Yes</v>
      </c>
      <c r="AA125" s="6" t="str">
        <f t="shared" si="26"/>
        <v>No</v>
      </c>
      <c r="AB125" s="6" t="str">
        <f t="shared" si="27"/>
        <v>Yes</v>
      </c>
      <c r="AE125" s="6" t="str">
        <f t="shared" si="29"/>
        <v>No</v>
      </c>
      <c r="AF125" s="6" t="str">
        <f t="shared" si="30"/>
        <v>Yes</v>
      </c>
      <c r="AH125" s="17"/>
      <c r="AI125" s="6" t="s">
        <v>525</v>
      </c>
      <c r="AK125" s="6" t="s">
        <v>525</v>
      </c>
      <c r="AM125" s="6" t="s">
        <v>525</v>
      </c>
    </row>
    <row r="126" spans="1:45" x14ac:dyDescent="0.45">
      <c r="A126" s="1" t="s">
        <v>58</v>
      </c>
      <c r="B126" s="1" t="s">
        <v>59</v>
      </c>
      <c r="C126" s="12">
        <v>260382</v>
      </c>
      <c r="D126" s="12">
        <f t="shared" si="17"/>
        <v>273906.85000000003</v>
      </c>
      <c r="E126" s="1">
        <v>5</v>
      </c>
      <c r="F126" s="2">
        <v>0.3</v>
      </c>
      <c r="G126" s="2">
        <v>0.5</v>
      </c>
      <c r="H126" s="2">
        <v>0.7</v>
      </c>
      <c r="J126" s="4"/>
      <c r="K126" s="4">
        <v>227256.04</v>
      </c>
      <c r="L126" s="4">
        <v>46650.810000000005</v>
      </c>
      <c r="M126" s="4"/>
      <c r="O126" s="14">
        <f t="shared" si="18"/>
        <v>13524.850000000035</v>
      </c>
      <c r="P126" s="15">
        <f t="shared" si="19"/>
        <v>5.1942338564109791E-2</v>
      </c>
      <c r="R126" s="12">
        <f t="shared" si="20"/>
        <v>273906.85000000003</v>
      </c>
      <c r="S126" s="12">
        <f t="shared" si="21"/>
        <v>82172.055000000008</v>
      </c>
      <c r="T126" s="12">
        <f t="shared" si="22"/>
        <v>136953.42500000002</v>
      </c>
      <c r="U126" s="12">
        <f t="shared" si="23"/>
        <v>191734.79500000001</v>
      </c>
      <c r="V126" s="17"/>
      <c r="W126" s="6" t="str">
        <f t="shared" si="24"/>
        <v>Yes</v>
      </c>
      <c r="AA126" s="6" t="str">
        <f t="shared" si="26"/>
        <v>Yes</v>
      </c>
      <c r="AE126" s="6" t="str">
        <f t="shared" si="29"/>
        <v>Yes</v>
      </c>
      <c r="AH126" s="17"/>
      <c r="AI126" s="6" t="s">
        <v>540</v>
      </c>
      <c r="AK126" s="6" t="s">
        <v>540</v>
      </c>
      <c r="AM126" s="6" t="s">
        <v>540</v>
      </c>
    </row>
    <row r="127" spans="1:45" x14ac:dyDescent="0.45">
      <c r="A127" s="1" t="s">
        <v>61</v>
      </c>
      <c r="B127" s="1" t="s">
        <v>62</v>
      </c>
      <c r="C127" s="12">
        <v>306824</v>
      </c>
      <c r="D127" s="12">
        <f t="shared" si="17"/>
        <v>329166.75</v>
      </c>
      <c r="E127" s="1">
        <v>5</v>
      </c>
      <c r="F127" s="2">
        <v>0.3</v>
      </c>
      <c r="G127" s="2">
        <v>0.5</v>
      </c>
      <c r="H127" s="2">
        <v>0.7</v>
      </c>
      <c r="J127" s="4"/>
      <c r="K127" s="4">
        <v>269100.48</v>
      </c>
      <c r="L127" s="4">
        <v>60066.270000000004</v>
      </c>
      <c r="M127" s="4"/>
      <c r="O127" s="14">
        <f t="shared" si="18"/>
        <v>22342.75</v>
      </c>
      <c r="P127" s="15">
        <f t="shared" si="19"/>
        <v>7.2819433942585984E-2</v>
      </c>
      <c r="R127" s="12">
        <f t="shared" si="20"/>
        <v>329166.75</v>
      </c>
      <c r="S127" s="12">
        <f t="shared" si="21"/>
        <v>98750.024999999994</v>
      </c>
      <c r="T127" s="12">
        <f t="shared" si="22"/>
        <v>164583.375</v>
      </c>
      <c r="U127" s="12">
        <f t="shared" si="23"/>
        <v>230416.72499999998</v>
      </c>
      <c r="V127" s="17"/>
      <c r="W127" s="6" t="str">
        <f t="shared" si="24"/>
        <v>Yes</v>
      </c>
      <c r="AA127" s="6" t="str">
        <f t="shared" si="26"/>
        <v>Yes</v>
      </c>
      <c r="AE127" s="6" t="str">
        <f t="shared" si="29"/>
        <v>Yes</v>
      </c>
      <c r="AH127" s="17"/>
      <c r="AI127" s="6" t="s">
        <v>540</v>
      </c>
      <c r="AK127" s="6" t="s">
        <v>540</v>
      </c>
      <c r="AM127" s="6" t="s">
        <v>540</v>
      </c>
    </row>
    <row r="128" spans="1:45" x14ac:dyDescent="0.45">
      <c r="A128" s="1" t="s">
        <v>397</v>
      </c>
      <c r="B128" s="1" t="s">
        <v>398</v>
      </c>
      <c r="C128" s="12">
        <v>27288</v>
      </c>
      <c r="D128" s="12">
        <f t="shared" si="17"/>
        <v>27367.61</v>
      </c>
      <c r="E128" s="1">
        <v>7</v>
      </c>
      <c r="F128" s="2">
        <v>0.05</v>
      </c>
      <c r="G128" s="2">
        <v>0.1</v>
      </c>
      <c r="H128" s="2">
        <v>0.2</v>
      </c>
      <c r="J128" s="4"/>
      <c r="K128" s="4"/>
      <c r="L128" s="4">
        <v>27367.61</v>
      </c>
      <c r="M128" s="4"/>
      <c r="O128" s="14">
        <f t="shared" si="18"/>
        <v>79.610000000000582</v>
      </c>
      <c r="P128" s="15">
        <f t="shared" si="19"/>
        <v>2.9173995895631992E-3</v>
      </c>
      <c r="R128" s="12">
        <f t="shared" si="20"/>
        <v>27367.61</v>
      </c>
      <c r="S128" s="12">
        <f t="shared" si="21"/>
        <v>1368.3805000000002</v>
      </c>
      <c r="T128" s="12">
        <f t="shared" si="22"/>
        <v>2736.7610000000004</v>
      </c>
      <c r="U128" s="12">
        <f t="shared" si="23"/>
        <v>5473.5220000000008</v>
      </c>
      <c r="V128" s="17"/>
      <c r="W128" s="6" t="str">
        <f t="shared" si="24"/>
        <v>No</v>
      </c>
      <c r="X128" s="6" t="str">
        <f t="shared" si="25"/>
        <v>Yes</v>
      </c>
      <c r="AA128" s="6" t="str">
        <f t="shared" si="26"/>
        <v>No</v>
      </c>
      <c r="AB128" s="6" t="str">
        <f t="shared" si="27"/>
        <v>Yes</v>
      </c>
      <c r="AE128" s="6" t="str">
        <f t="shared" si="29"/>
        <v>No</v>
      </c>
      <c r="AF128" s="6" t="str">
        <f t="shared" si="30"/>
        <v>Yes</v>
      </c>
      <c r="AH128" s="17"/>
      <c r="AI128" s="6" t="s">
        <v>525</v>
      </c>
      <c r="AK128" s="6" t="s">
        <v>525</v>
      </c>
      <c r="AM128" s="6" t="s">
        <v>525</v>
      </c>
    </row>
    <row r="129" spans="1:45" x14ac:dyDescent="0.45">
      <c r="A129" s="1" t="s">
        <v>400</v>
      </c>
      <c r="B129" s="1" t="s">
        <v>401</v>
      </c>
      <c r="C129" s="12">
        <v>99433</v>
      </c>
      <c r="D129" s="12">
        <f t="shared" si="17"/>
        <v>97014.41</v>
      </c>
      <c r="E129" s="1">
        <v>7</v>
      </c>
      <c r="F129" s="2">
        <v>0.05</v>
      </c>
      <c r="G129" s="2">
        <v>0.15</v>
      </c>
      <c r="H129" s="2">
        <v>0.25</v>
      </c>
      <c r="J129" s="4"/>
      <c r="K129" s="4">
        <v>8571.69</v>
      </c>
      <c r="L129" s="4">
        <v>88442.72</v>
      </c>
      <c r="M129" s="4"/>
      <c r="O129" s="14">
        <f t="shared" si="18"/>
        <v>-2418.5899999999965</v>
      </c>
      <c r="P129" s="15">
        <f t="shared" si="19"/>
        <v>-2.4323816036929354E-2</v>
      </c>
      <c r="R129" s="12">
        <f t="shared" si="20"/>
        <v>97014.41</v>
      </c>
      <c r="S129" s="12">
        <f t="shared" si="21"/>
        <v>4850.7205000000004</v>
      </c>
      <c r="T129" s="12">
        <f t="shared" si="22"/>
        <v>14552.1615</v>
      </c>
      <c r="U129" s="12">
        <f t="shared" si="23"/>
        <v>24253.602500000001</v>
      </c>
      <c r="V129" s="17"/>
      <c r="W129" s="6" t="str">
        <f t="shared" si="24"/>
        <v>Yes</v>
      </c>
      <c r="AA129" s="6" t="str">
        <f t="shared" si="26"/>
        <v>No</v>
      </c>
      <c r="AB129" s="6" t="str">
        <f t="shared" si="27"/>
        <v>Yes</v>
      </c>
      <c r="AE129" s="6" t="str">
        <f t="shared" si="29"/>
        <v>No</v>
      </c>
      <c r="AF129" s="6" t="str">
        <f t="shared" si="30"/>
        <v>Yes</v>
      </c>
      <c r="AH129" s="17"/>
      <c r="AI129" s="6" t="s">
        <v>540</v>
      </c>
      <c r="AK129" s="6" t="s">
        <v>541</v>
      </c>
      <c r="AM129" s="6" t="s">
        <v>541</v>
      </c>
      <c r="AO129" s="23" t="s">
        <v>538</v>
      </c>
      <c r="AP129" s="24">
        <f>T129-K129</f>
        <v>5980.4714999999997</v>
      </c>
      <c r="AQ129" s="25">
        <f>AP129/L129*100</f>
        <v>6.7619714771323167</v>
      </c>
      <c r="AR129" s="11">
        <f t="shared" ref="AR129:AR130" si="34">U129-K129</f>
        <v>15681.9125</v>
      </c>
      <c r="AS129" s="19">
        <f t="shared" ref="AS129:AS130" si="35">AR129/L129*100</f>
        <v>17.731151303352046</v>
      </c>
    </row>
    <row r="130" spans="1:45" x14ac:dyDescent="0.45">
      <c r="A130" s="1" t="s">
        <v>403</v>
      </c>
      <c r="B130" s="1" t="s">
        <v>404</v>
      </c>
      <c r="C130" s="12">
        <v>130446</v>
      </c>
      <c r="D130" s="12">
        <f t="shared" si="17"/>
        <v>133273.25</v>
      </c>
      <c r="E130" s="1">
        <v>7</v>
      </c>
      <c r="F130" s="2">
        <v>0.2</v>
      </c>
      <c r="G130" s="2">
        <v>0.35</v>
      </c>
      <c r="H130" s="2">
        <v>0.5</v>
      </c>
      <c r="J130" s="4"/>
      <c r="K130" s="4">
        <v>40307.17</v>
      </c>
      <c r="L130" s="4">
        <v>92966.080000000016</v>
      </c>
      <c r="M130" s="4"/>
      <c r="O130" s="14">
        <f t="shared" si="18"/>
        <v>2827.25</v>
      </c>
      <c r="P130" s="15">
        <f t="shared" si="19"/>
        <v>2.1673719393465494E-2</v>
      </c>
      <c r="R130" s="12">
        <f t="shared" si="20"/>
        <v>133273.25</v>
      </c>
      <c r="S130" s="12">
        <f t="shared" si="21"/>
        <v>26654.65</v>
      </c>
      <c r="T130" s="12">
        <f t="shared" si="22"/>
        <v>46645.637499999997</v>
      </c>
      <c r="U130" s="12">
        <f t="shared" si="23"/>
        <v>66636.625</v>
      </c>
      <c r="V130" s="17"/>
      <c r="W130" s="6" t="str">
        <f t="shared" si="24"/>
        <v>Yes</v>
      </c>
      <c r="AA130" s="6" t="str">
        <f t="shared" si="26"/>
        <v>No</v>
      </c>
      <c r="AB130" s="6" t="str">
        <f t="shared" si="27"/>
        <v>Yes</v>
      </c>
      <c r="AE130" s="6" t="str">
        <f t="shared" si="29"/>
        <v>No</v>
      </c>
      <c r="AF130" s="6" t="str">
        <f t="shared" si="30"/>
        <v>Yes</v>
      </c>
      <c r="AH130" s="17"/>
      <c r="AI130" s="6" t="s">
        <v>540</v>
      </c>
      <c r="AK130" s="6" t="s">
        <v>541</v>
      </c>
      <c r="AM130" s="6" t="s">
        <v>541</v>
      </c>
      <c r="AO130" s="23" t="s">
        <v>538</v>
      </c>
      <c r="AP130" s="24">
        <f>T130-K130</f>
        <v>6338.4674999999988</v>
      </c>
      <c r="AQ130" s="25">
        <f>AP130/L130*100</f>
        <v>6.8180432045752584</v>
      </c>
      <c r="AR130" s="11">
        <f t="shared" si="34"/>
        <v>26329.455000000002</v>
      </c>
      <c r="AS130" s="19">
        <f t="shared" si="35"/>
        <v>28.321571695827117</v>
      </c>
    </row>
    <row r="131" spans="1:45" x14ac:dyDescent="0.45">
      <c r="A131" s="1" t="s">
        <v>406</v>
      </c>
      <c r="B131" s="1" t="s">
        <v>407</v>
      </c>
      <c r="C131" s="12">
        <v>37539</v>
      </c>
      <c r="D131" s="12">
        <f t="shared" si="17"/>
        <v>36785.83</v>
      </c>
      <c r="E131" s="1">
        <v>7</v>
      </c>
      <c r="F131" s="2">
        <v>0.2</v>
      </c>
      <c r="G131" s="2">
        <v>0.35</v>
      </c>
      <c r="H131" s="2">
        <v>0.5</v>
      </c>
      <c r="J131" s="4"/>
      <c r="K131" s="4">
        <v>23564.16</v>
      </c>
      <c r="L131" s="4">
        <v>13221.67</v>
      </c>
      <c r="M131" s="4"/>
      <c r="O131" s="14">
        <f t="shared" si="18"/>
        <v>-753.16999999999825</v>
      </c>
      <c r="P131" s="15">
        <f t="shared" si="19"/>
        <v>-2.0063667119528977E-2</v>
      </c>
      <c r="R131" s="12">
        <f t="shared" si="20"/>
        <v>36785.83</v>
      </c>
      <c r="S131" s="12">
        <f t="shared" si="21"/>
        <v>7357.1660000000011</v>
      </c>
      <c r="T131" s="12">
        <f t="shared" si="22"/>
        <v>12875.040499999999</v>
      </c>
      <c r="U131" s="12">
        <f t="shared" si="23"/>
        <v>18392.915000000001</v>
      </c>
      <c r="V131" s="17"/>
      <c r="W131" s="6" t="str">
        <f t="shared" si="24"/>
        <v>Yes</v>
      </c>
      <c r="AA131" s="6" t="str">
        <f t="shared" si="26"/>
        <v>Yes</v>
      </c>
      <c r="AE131" s="6" t="str">
        <f t="shared" si="29"/>
        <v>Yes</v>
      </c>
      <c r="AH131" s="17"/>
      <c r="AI131" s="6" t="s">
        <v>540</v>
      </c>
      <c r="AK131" s="6" t="s">
        <v>540</v>
      </c>
      <c r="AM131" s="6" t="s">
        <v>540</v>
      </c>
    </row>
    <row r="132" spans="1:45" x14ac:dyDescent="0.45">
      <c r="A132" s="1" t="s">
        <v>409</v>
      </c>
      <c r="B132" s="1" t="s">
        <v>521</v>
      </c>
      <c r="C132" s="12">
        <v>37064</v>
      </c>
      <c r="D132" s="12">
        <f t="shared" ref="D132:D174" si="36">SUM(J132:M132)</f>
        <v>35789.019999999997</v>
      </c>
      <c r="E132" s="1">
        <v>7</v>
      </c>
      <c r="F132" s="2">
        <v>0.05</v>
      </c>
      <c r="G132" s="2">
        <v>0.1</v>
      </c>
      <c r="H132" s="2">
        <v>0.2</v>
      </c>
      <c r="J132" s="4"/>
      <c r="K132" s="4"/>
      <c r="L132" s="4"/>
      <c r="M132" s="4">
        <v>35789.019999999997</v>
      </c>
      <c r="O132" s="14">
        <f t="shared" ref="O132:O174" si="37">J132+K132+L132+M132-C132</f>
        <v>-1274.9800000000032</v>
      </c>
      <c r="P132" s="15">
        <f t="shared" ref="P132:P174" si="38">((M132+L132+K132+J132)-C132)/C132</f>
        <v>-3.4399417224260827E-2</v>
      </c>
      <c r="R132" s="12">
        <f t="shared" ref="R132:R174" si="39">SUM(J132:M132)</f>
        <v>35789.019999999997</v>
      </c>
      <c r="S132" s="12">
        <f t="shared" ref="S132:S174" si="40">$D132*(F132)</f>
        <v>1789.451</v>
      </c>
      <c r="T132" s="12">
        <f t="shared" ref="T132:T174" si="41">$D132*(G132)</f>
        <v>3578.902</v>
      </c>
      <c r="U132" s="12">
        <f t="shared" ref="U132:U174" si="42">$D132*(H132)</f>
        <v>7157.8040000000001</v>
      </c>
      <c r="V132" s="17"/>
      <c r="W132" s="6" t="str">
        <f t="shared" ref="W132:W174" si="43">IF((J132+K132)&gt;S132,"Yes","No")</f>
        <v>No</v>
      </c>
      <c r="X132" s="6" t="str">
        <f t="shared" ref="X132:X174" si="44">IF((L132)&gt;S132,"Yes","No")</f>
        <v>No</v>
      </c>
      <c r="Y132" s="6" t="s">
        <v>538</v>
      </c>
      <c r="AA132" s="6" t="str">
        <f t="shared" ref="AA132:AA174" si="45">IF((J132+K132)&gt;T132,"Yes","No")</f>
        <v>No</v>
      </c>
      <c r="AB132" s="6" t="str">
        <f t="shared" ref="AB132:AB174" si="46">IF((L132)&gt;T132,"Yes","No")</f>
        <v>No</v>
      </c>
      <c r="AC132" s="6" t="str">
        <f t="shared" ref="AC132:AC174" si="47">IF((M132)&gt;U132,"Yes","No")</f>
        <v>Yes</v>
      </c>
      <c r="AE132" s="6" t="str">
        <f t="shared" ref="AE132:AE174" si="48">IF((J132+K132)&gt;U132,"Yes","No")</f>
        <v>No</v>
      </c>
      <c r="AF132" s="6" t="str">
        <f t="shared" ref="AF132:AF174" si="49">IF((L132)&gt;U132,"Yes","No")</f>
        <v>No</v>
      </c>
      <c r="AG132" s="6" t="str">
        <f t="shared" ref="AG132:AG174" si="50">IF((M132)&gt;U132,"Yes","No")</f>
        <v>Yes</v>
      </c>
      <c r="AH132" s="17"/>
      <c r="AI132" s="6" t="s">
        <v>526</v>
      </c>
      <c r="AK132" s="6" t="s">
        <v>526</v>
      </c>
      <c r="AM132" s="6" t="s">
        <v>526</v>
      </c>
    </row>
    <row r="133" spans="1:45" x14ac:dyDescent="0.45">
      <c r="A133" s="1" t="s">
        <v>411</v>
      </c>
      <c r="B133" s="1" t="s">
        <v>412</v>
      </c>
      <c r="C133" s="12">
        <v>107233</v>
      </c>
      <c r="D133" s="12">
        <f t="shared" si="36"/>
        <v>107498.11</v>
      </c>
      <c r="E133" s="1">
        <v>7</v>
      </c>
      <c r="F133" s="2">
        <v>0.3</v>
      </c>
      <c r="G133" s="2">
        <v>0.5</v>
      </c>
      <c r="H133" s="2">
        <v>0.7</v>
      </c>
      <c r="J133" s="4"/>
      <c r="K133" s="4">
        <v>70608.37</v>
      </c>
      <c r="L133" s="4">
        <v>36889.740000000005</v>
      </c>
      <c r="M133" s="4"/>
      <c r="O133" s="14">
        <f t="shared" si="37"/>
        <v>265.11000000000058</v>
      </c>
      <c r="P133" s="15">
        <f t="shared" si="38"/>
        <v>2.4722799884364008E-3</v>
      </c>
      <c r="R133" s="12">
        <f t="shared" si="39"/>
        <v>107498.11</v>
      </c>
      <c r="S133" s="12">
        <f t="shared" si="40"/>
        <v>32249.432999999997</v>
      </c>
      <c r="T133" s="12">
        <f t="shared" si="41"/>
        <v>53749.055</v>
      </c>
      <c r="U133" s="12">
        <f t="shared" si="42"/>
        <v>75248.676999999996</v>
      </c>
      <c r="V133" s="17"/>
      <c r="W133" s="6" t="str">
        <f t="shared" si="43"/>
        <v>Yes</v>
      </c>
      <c r="AA133" s="6" t="str">
        <f t="shared" si="45"/>
        <v>Yes</v>
      </c>
      <c r="AE133" s="6" t="str">
        <f t="shared" si="48"/>
        <v>No</v>
      </c>
      <c r="AF133" s="6" t="str">
        <f t="shared" si="49"/>
        <v>No</v>
      </c>
      <c r="AG133" s="6" t="str">
        <f t="shared" si="50"/>
        <v>No</v>
      </c>
      <c r="AH133" s="17"/>
      <c r="AI133" s="6" t="s">
        <v>540</v>
      </c>
      <c r="AK133" s="6" t="s">
        <v>540</v>
      </c>
      <c r="AM133" s="6" t="s">
        <v>541</v>
      </c>
      <c r="AO133" s="23" t="s">
        <v>538</v>
      </c>
      <c r="AP133" s="24"/>
      <c r="AQ133" s="24"/>
      <c r="AR133" s="11">
        <f>U133-K133</f>
        <v>4640.3070000000007</v>
      </c>
      <c r="AS133" s="19">
        <f>AR133/L133*100</f>
        <v>12.578855258941918</v>
      </c>
    </row>
    <row r="134" spans="1:45" x14ac:dyDescent="0.45">
      <c r="A134" s="1" t="s">
        <v>414</v>
      </c>
      <c r="B134" s="1" t="s">
        <v>415</v>
      </c>
      <c r="C134" s="12">
        <v>189709</v>
      </c>
      <c r="D134" s="12">
        <f t="shared" si="36"/>
        <v>200077.32</v>
      </c>
      <c r="E134" s="1">
        <v>7</v>
      </c>
      <c r="F134" s="2">
        <v>0.2</v>
      </c>
      <c r="G134" s="2">
        <v>0.35</v>
      </c>
      <c r="H134" s="2">
        <v>0.5</v>
      </c>
      <c r="J134" s="4"/>
      <c r="K134" s="4">
        <v>102905.86</v>
      </c>
      <c r="L134" s="4">
        <v>97171.459999999992</v>
      </c>
      <c r="M134" s="4"/>
      <c r="O134" s="14">
        <f t="shared" si="37"/>
        <v>10368.320000000007</v>
      </c>
      <c r="P134" s="15">
        <f t="shared" si="38"/>
        <v>5.4653811890843382E-2</v>
      </c>
      <c r="R134" s="12">
        <f t="shared" si="39"/>
        <v>200077.32</v>
      </c>
      <c r="S134" s="12">
        <f t="shared" si="40"/>
        <v>40015.464000000007</v>
      </c>
      <c r="T134" s="12">
        <f t="shared" si="41"/>
        <v>70027.061999999991</v>
      </c>
      <c r="U134" s="12">
        <f t="shared" si="42"/>
        <v>100038.66</v>
      </c>
      <c r="V134" s="17"/>
      <c r="W134" s="6" t="str">
        <f t="shared" si="43"/>
        <v>Yes</v>
      </c>
      <c r="AA134" s="6" t="str">
        <f t="shared" si="45"/>
        <v>Yes</v>
      </c>
      <c r="AE134" s="6" t="str">
        <f t="shared" si="48"/>
        <v>Yes</v>
      </c>
      <c r="AH134" s="17"/>
      <c r="AI134" s="6" t="s">
        <v>540</v>
      </c>
      <c r="AK134" s="6" t="s">
        <v>540</v>
      </c>
      <c r="AM134" s="6" t="s">
        <v>540</v>
      </c>
    </row>
    <row r="135" spans="1:45" x14ac:dyDescent="0.45">
      <c r="A135" s="1" t="s">
        <v>417</v>
      </c>
      <c r="B135" s="1" t="s">
        <v>418</v>
      </c>
      <c r="C135" s="12">
        <v>51420</v>
      </c>
      <c r="D135" s="12">
        <f t="shared" si="36"/>
        <v>50097.100000000006</v>
      </c>
      <c r="E135" s="1">
        <v>7</v>
      </c>
      <c r="F135" s="2">
        <v>0.1</v>
      </c>
      <c r="G135" s="2">
        <v>0.2</v>
      </c>
      <c r="H135" s="2">
        <v>0.3</v>
      </c>
      <c r="J135" s="4"/>
      <c r="K135" s="4"/>
      <c r="L135" s="4">
        <v>50097.100000000006</v>
      </c>
      <c r="M135" s="4"/>
      <c r="O135" s="14">
        <f t="shared" si="37"/>
        <v>-1322.8999999999942</v>
      </c>
      <c r="P135" s="15">
        <f t="shared" si="38"/>
        <v>-2.5727343446129796E-2</v>
      </c>
      <c r="R135" s="12">
        <f t="shared" si="39"/>
        <v>50097.100000000006</v>
      </c>
      <c r="S135" s="12">
        <f t="shared" si="40"/>
        <v>5009.7100000000009</v>
      </c>
      <c r="T135" s="12">
        <f t="shared" si="41"/>
        <v>10019.420000000002</v>
      </c>
      <c r="U135" s="12">
        <f t="shared" si="42"/>
        <v>15029.130000000001</v>
      </c>
      <c r="V135" s="17"/>
      <c r="W135" s="6" t="str">
        <f t="shared" si="43"/>
        <v>No</v>
      </c>
      <c r="X135" s="6" t="str">
        <f t="shared" si="44"/>
        <v>Yes</v>
      </c>
      <c r="AA135" s="6" t="str">
        <f t="shared" si="45"/>
        <v>No</v>
      </c>
      <c r="AB135" s="6" t="str">
        <f t="shared" si="46"/>
        <v>Yes</v>
      </c>
      <c r="AE135" s="6" t="str">
        <f t="shared" si="48"/>
        <v>No</v>
      </c>
      <c r="AF135" s="6" t="str">
        <f t="shared" si="49"/>
        <v>Yes</v>
      </c>
      <c r="AH135" s="17"/>
      <c r="AI135" s="6" t="s">
        <v>525</v>
      </c>
      <c r="AK135" s="6" t="s">
        <v>525</v>
      </c>
      <c r="AM135" s="6" t="s">
        <v>525</v>
      </c>
    </row>
    <row r="136" spans="1:45" x14ac:dyDescent="0.45">
      <c r="A136" s="1" t="s">
        <v>420</v>
      </c>
      <c r="B136" s="1" t="s">
        <v>421</v>
      </c>
      <c r="C136" s="12">
        <v>120208</v>
      </c>
      <c r="D136" s="12">
        <f t="shared" si="36"/>
        <v>133362.03</v>
      </c>
      <c r="E136" s="1">
        <v>7</v>
      </c>
      <c r="F136" s="2">
        <v>0.15</v>
      </c>
      <c r="G136" s="2">
        <v>0.3</v>
      </c>
      <c r="H136" s="2">
        <v>0.4</v>
      </c>
      <c r="J136" s="4"/>
      <c r="K136" s="4">
        <v>52384.71</v>
      </c>
      <c r="L136" s="4">
        <v>80977.320000000007</v>
      </c>
      <c r="M136" s="4"/>
      <c r="O136" s="14">
        <f t="shared" si="37"/>
        <v>13154.029999999999</v>
      </c>
      <c r="P136" s="15">
        <f t="shared" si="38"/>
        <v>0.10942724277918274</v>
      </c>
      <c r="R136" s="12">
        <f t="shared" si="39"/>
        <v>133362.03</v>
      </c>
      <c r="S136" s="12">
        <f t="shared" si="40"/>
        <v>20004.304499999998</v>
      </c>
      <c r="T136" s="12">
        <f t="shared" si="41"/>
        <v>40008.608999999997</v>
      </c>
      <c r="U136" s="12">
        <f t="shared" si="42"/>
        <v>53344.812000000005</v>
      </c>
      <c r="V136" s="17"/>
      <c r="W136" s="6" t="str">
        <f t="shared" si="43"/>
        <v>Yes</v>
      </c>
      <c r="AA136" s="6" t="str">
        <f t="shared" si="45"/>
        <v>Yes</v>
      </c>
      <c r="AE136" s="6" t="str">
        <f t="shared" si="48"/>
        <v>No</v>
      </c>
      <c r="AF136" s="6" t="str">
        <f t="shared" si="49"/>
        <v>Yes</v>
      </c>
      <c r="AH136" s="17"/>
      <c r="AI136" s="6" t="s">
        <v>540</v>
      </c>
      <c r="AK136" s="6" t="s">
        <v>540</v>
      </c>
      <c r="AM136" s="6" t="s">
        <v>525</v>
      </c>
    </row>
    <row r="137" spans="1:45" x14ac:dyDescent="0.45">
      <c r="A137" s="1" t="s">
        <v>423</v>
      </c>
      <c r="B137" s="1" t="s">
        <v>424</v>
      </c>
      <c r="C137" s="12">
        <v>45478</v>
      </c>
      <c r="D137" s="12">
        <f t="shared" si="36"/>
        <v>45246.61</v>
      </c>
      <c r="E137" s="1">
        <v>7</v>
      </c>
      <c r="F137" s="2">
        <v>0.15</v>
      </c>
      <c r="G137" s="2">
        <v>0.3</v>
      </c>
      <c r="H137" s="2">
        <v>0.4</v>
      </c>
      <c r="J137" s="4"/>
      <c r="K137" s="4"/>
      <c r="L137" s="4">
        <v>45246.61</v>
      </c>
      <c r="M137" s="4"/>
      <c r="O137" s="14">
        <f t="shared" si="37"/>
        <v>-231.38999999999942</v>
      </c>
      <c r="P137" s="15">
        <f t="shared" si="38"/>
        <v>-5.0879546154184311E-3</v>
      </c>
      <c r="R137" s="12">
        <f t="shared" si="39"/>
        <v>45246.61</v>
      </c>
      <c r="S137" s="12">
        <f t="shared" si="40"/>
        <v>6786.9915000000001</v>
      </c>
      <c r="T137" s="12">
        <f t="shared" si="41"/>
        <v>13573.983</v>
      </c>
      <c r="U137" s="12">
        <f t="shared" si="42"/>
        <v>18098.644</v>
      </c>
      <c r="V137" s="17"/>
      <c r="W137" s="6" t="str">
        <f t="shared" si="43"/>
        <v>No</v>
      </c>
      <c r="X137" s="6" t="str">
        <f t="shared" si="44"/>
        <v>Yes</v>
      </c>
      <c r="AA137" s="6" t="str">
        <f t="shared" si="45"/>
        <v>No</v>
      </c>
      <c r="AB137" s="6" t="str">
        <f t="shared" si="46"/>
        <v>Yes</v>
      </c>
      <c r="AE137" s="6" t="str">
        <f t="shared" si="48"/>
        <v>No</v>
      </c>
      <c r="AF137" s="6" t="str">
        <f t="shared" si="49"/>
        <v>Yes</v>
      </c>
      <c r="AH137" s="17"/>
      <c r="AI137" s="6" t="s">
        <v>525</v>
      </c>
      <c r="AK137" s="6" t="s">
        <v>525</v>
      </c>
      <c r="AM137" s="6" t="s">
        <v>525</v>
      </c>
    </row>
    <row r="138" spans="1:45" x14ac:dyDescent="0.45">
      <c r="A138" s="1" t="s">
        <v>64</v>
      </c>
      <c r="B138" s="1" t="s">
        <v>65</v>
      </c>
      <c r="C138" s="12">
        <v>1416856</v>
      </c>
      <c r="D138" s="12">
        <f t="shared" si="36"/>
        <v>1494793.21</v>
      </c>
      <c r="E138" s="1">
        <v>5</v>
      </c>
      <c r="F138" s="2">
        <v>0.3</v>
      </c>
      <c r="G138" s="2">
        <v>0.5</v>
      </c>
      <c r="H138" s="2">
        <v>0.7</v>
      </c>
      <c r="J138" s="4"/>
      <c r="K138" s="4">
        <v>1372374.42</v>
      </c>
      <c r="L138" s="4">
        <v>122418.79000000001</v>
      </c>
      <c r="M138" s="4"/>
      <c r="O138" s="14">
        <f t="shared" si="37"/>
        <v>77937.209999999963</v>
      </c>
      <c r="P138" s="15">
        <f t="shared" si="38"/>
        <v>5.5007149632707884E-2</v>
      </c>
      <c r="R138" s="12">
        <f t="shared" si="39"/>
        <v>1494793.21</v>
      </c>
      <c r="S138" s="12">
        <f t="shared" si="40"/>
        <v>448437.96299999999</v>
      </c>
      <c r="T138" s="12">
        <f t="shared" si="41"/>
        <v>747396.60499999998</v>
      </c>
      <c r="U138" s="12">
        <f t="shared" si="42"/>
        <v>1046355.2469999999</v>
      </c>
      <c r="V138" s="17"/>
      <c r="W138" s="6" t="str">
        <f t="shared" si="43"/>
        <v>Yes</v>
      </c>
      <c r="AA138" s="6" t="str">
        <f t="shared" si="45"/>
        <v>Yes</v>
      </c>
      <c r="AE138" s="6" t="str">
        <f t="shared" si="48"/>
        <v>Yes</v>
      </c>
      <c r="AH138" s="17"/>
      <c r="AI138" s="6" t="s">
        <v>540</v>
      </c>
      <c r="AK138" s="6" t="s">
        <v>540</v>
      </c>
      <c r="AM138" s="6" t="s">
        <v>540</v>
      </c>
    </row>
    <row r="139" spans="1:45" x14ac:dyDescent="0.45">
      <c r="A139" s="1" t="s">
        <v>426</v>
      </c>
      <c r="B139" s="1" t="s">
        <v>427</v>
      </c>
      <c r="C139" s="12">
        <v>206387</v>
      </c>
      <c r="D139" s="12">
        <f t="shared" si="36"/>
        <v>210096.86000000002</v>
      </c>
      <c r="E139" s="1">
        <v>7</v>
      </c>
      <c r="F139" s="2">
        <v>0.25</v>
      </c>
      <c r="G139" s="2">
        <v>0.4</v>
      </c>
      <c r="H139" s="2">
        <v>0.6</v>
      </c>
      <c r="J139" s="4"/>
      <c r="K139" s="4">
        <v>105831.41</v>
      </c>
      <c r="L139" s="4">
        <v>104265.45000000001</v>
      </c>
      <c r="M139" s="4"/>
      <c r="O139" s="14">
        <f t="shared" si="37"/>
        <v>3709.8600000000151</v>
      </c>
      <c r="P139" s="15">
        <f t="shared" si="38"/>
        <v>1.7975260069675005E-2</v>
      </c>
      <c r="R139" s="12">
        <f t="shared" si="39"/>
        <v>210096.86000000002</v>
      </c>
      <c r="S139" s="12">
        <f t="shared" si="40"/>
        <v>52524.215000000004</v>
      </c>
      <c r="T139" s="12">
        <f t="shared" si="41"/>
        <v>84038.744000000006</v>
      </c>
      <c r="U139" s="12">
        <f t="shared" si="42"/>
        <v>126058.11600000001</v>
      </c>
      <c r="V139" s="17"/>
      <c r="W139" s="6" t="str">
        <f t="shared" si="43"/>
        <v>Yes</v>
      </c>
      <c r="AA139" s="6" t="str">
        <f t="shared" si="45"/>
        <v>Yes</v>
      </c>
      <c r="AE139" s="6" t="str">
        <f t="shared" si="48"/>
        <v>No</v>
      </c>
      <c r="AF139" s="6" t="str">
        <f t="shared" si="49"/>
        <v>No</v>
      </c>
      <c r="AG139" s="6" t="str">
        <f t="shared" si="50"/>
        <v>No</v>
      </c>
      <c r="AH139" s="17"/>
      <c r="AI139" s="6" t="s">
        <v>540</v>
      </c>
      <c r="AK139" s="6" t="s">
        <v>540</v>
      </c>
      <c r="AM139" s="6" t="s">
        <v>541</v>
      </c>
      <c r="AO139" s="23" t="s">
        <v>538</v>
      </c>
      <c r="AP139" s="24"/>
      <c r="AQ139" s="24"/>
      <c r="AR139" s="11">
        <f>U139-K139</f>
        <v>20226.706000000006</v>
      </c>
      <c r="AS139" s="19">
        <f>AR139/L139*100</f>
        <v>19.399241071706882</v>
      </c>
    </row>
    <row r="140" spans="1:45" x14ac:dyDescent="0.45">
      <c r="A140" s="1" t="s">
        <v>429</v>
      </c>
      <c r="B140" s="1" t="s">
        <v>430</v>
      </c>
      <c r="C140" s="12">
        <v>54340</v>
      </c>
      <c r="D140" s="12">
        <f t="shared" si="36"/>
        <v>54253.36</v>
      </c>
      <c r="E140" s="1">
        <v>7</v>
      </c>
      <c r="F140" s="2">
        <v>0.15</v>
      </c>
      <c r="G140" s="2">
        <v>0.3</v>
      </c>
      <c r="H140" s="2">
        <v>0.4</v>
      </c>
      <c r="J140" s="4"/>
      <c r="K140" s="4"/>
      <c r="L140" s="4">
        <v>54253.36</v>
      </c>
      <c r="M140" s="4"/>
      <c r="O140" s="14">
        <f t="shared" si="37"/>
        <v>-86.639999999999418</v>
      </c>
      <c r="P140" s="15">
        <f t="shared" si="38"/>
        <v>-1.5944055944055837E-3</v>
      </c>
      <c r="R140" s="12">
        <f t="shared" si="39"/>
        <v>54253.36</v>
      </c>
      <c r="S140" s="12">
        <f t="shared" si="40"/>
        <v>8138.0039999999999</v>
      </c>
      <c r="T140" s="12">
        <f t="shared" si="41"/>
        <v>16276.008</v>
      </c>
      <c r="U140" s="12">
        <f t="shared" si="42"/>
        <v>21701.344000000001</v>
      </c>
      <c r="V140" s="17"/>
      <c r="W140" s="6" t="str">
        <f t="shared" si="43"/>
        <v>No</v>
      </c>
      <c r="X140" s="6" t="str">
        <f t="shared" si="44"/>
        <v>Yes</v>
      </c>
      <c r="AA140" s="6" t="str">
        <f t="shared" si="45"/>
        <v>No</v>
      </c>
      <c r="AB140" s="6" t="str">
        <f t="shared" si="46"/>
        <v>Yes</v>
      </c>
      <c r="AE140" s="6" t="str">
        <f t="shared" si="48"/>
        <v>No</v>
      </c>
      <c r="AF140" s="6" t="str">
        <f t="shared" si="49"/>
        <v>Yes</v>
      </c>
      <c r="AH140" s="17"/>
      <c r="AI140" s="6" t="s">
        <v>525</v>
      </c>
      <c r="AK140" s="6" t="s">
        <v>525</v>
      </c>
      <c r="AM140" s="6" t="s">
        <v>525</v>
      </c>
    </row>
    <row r="141" spans="1:45" x14ac:dyDescent="0.45">
      <c r="A141" s="1" t="s">
        <v>432</v>
      </c>
      <c r="B141" s="1" t="s">
        <v>433</v>
      </c>
      <c r="C141" s="12">
        <v>40145</v>
      </c>
      <c r="D141" s="12">
        <f t="shared" si="36"/>
        <v>39827.11</v>
      </c>
      <c r="E141" s="1">
        <v>7</v>
      </c>
      <c r="F141" s="2">
        <v>0.2</v>
      </c>
      <c r="G141" s="2">
        <v>0.35</v>
      </c>
      <c r="H141" s="2">
        <v>0.5</v>
      </c>
      <c r="J141" s="4"/>
      <c r="K141" s="4"/>
      <c r="L141" s="4">
        <v>39827.11</v>
      </c>
      <c r="M141" s="4"/>
      <c r="O141" s="14">
        <f t="shared" si="37"/>
        <v>-317.88999999999942</v>
      </c>
      <c r="P141" s="15">
        <f t="shared" si="38"/>
        <v>-7.918545273383969E-3</v>
      </c>
      <c r="R141" s="12">
        <f t="shared" si="39"/>
        <v>39827.11</v>
      </c>
      <c r="S141" s="12">
        <f t="shared" si="40"/>
        <v>7965.4220000000005</v>
      </c>
      <c r="T141" s="12">
        <f t="shared" si="41"/>
        <v>13939.488499999999</v>
      </c>
      <c r="U141" s="12">
        <f t="shared" si="42"/>
        <v>19913.555</v>
      </c>
      <c r="V141" s="17"/>
      <c r="W141" s="6" t="str">
        <f t="shared" si="43"/>
        <v>No</v>
      </c>
      <c r="X141" s="6" t="str">
        <f t="shared" si="44"/>
        <v>Yes</v>
      </c>
      <c r="AA141" s="6" t="str">
        <f t="shared" si="45"/>
        <v>No</v>
      </c>
      <c r="AB141" s="6" t="str">
        <f t="shared" si="46"/>
        <v>Yes</v>
      </c>
      <c r="AE141" s="6" t="str">
        <f t="shared" si="48"/>
        <v>No</v>
      </c>
      <c r="AF141" s="6" t="str">
        <f t="shared" si="49"/>
        <v>Yes</v>
      </c>
      <c r="AH141" s="17"/>
      <c r="AI141" s="6" t="s">
        <v>525</v>
      </c>
      <c r="AK141" s="6" t="s">
        <v>525</v>
      </c>
      <c r="AM141" s="6" t="s">
        <v>525</v>
      </c>
    </row>
    <row r="142" spans="1:45" x14ac:dyDescent="0.45">
      <c r="A142" s="1" t="s">
        <v>435</v>
      </c>
      <c r="B142" s="1" t="s">
        <v>436</v>
      </c>
      <c r="C142" s="12">
        <v>15396</v>
      </c>
      <c r="D142" s="12">
        <f t="shared" si="36"/>
        <v>14897.03</v>
      </c>
      <c r="E142" s="1">
        <v>7</v>
      </c>
      <c r="F142" s="2">
        <v>0.15</v>
      </c>
      <c r="G142" s="2">
        <v>0.3</v>
      </c>
      <c r="H142" s="2">
        <v>0.4</v>
      </c>
      <c r="J142" s="4"/>
      <c r="K142" s="4"/>
      <c r="L142" s="4">
        <v>14897.03</v>
      </c>
      <c r="M142" s="4"/>
      <c r="O142" s="14">
        <f t="shared" si="37"/>
        <v>-498.96999999999935</v>
      </c>
      <c r="P142" s="15">
        <f t="shared" si="38"/>
        <v>-3.2409067290205207E-2</v>
      </c>
      <c r="R142" s="12">
        <f t="shared" si="39"/>
        <v>14897.03</v>
      </c>
      <c r="S142" s="12">
        <f t="shared" si="40"/>
        <v>2234.5545000000002</v>
      </c>
      <c r="T142" s="12">
        <f t="shared" si="41"/>
        <v>4469.1090000000004</v>
      </c>
      <c r="U142" s="12">
        <f t="shared" si="42"/>
        <v>5958.8120000000008</v>
      </c>
      <c r="V142" s="17"/>
      <c r="W142" s="6" t="str">
        <f t="shared" si="43"/>
        <v>No</v>
      </c>
      <c r="X142" s="6" t="str">
        <f t="shared" si="44"/>
        <v>Yes</v>
      </c>
      <c r="AA142" s="6" t="str">
        <f t="shared" si="45"/>
        <v>No</v>
      </c>
      <c r="AB142" s="6" t="str">
        <f t="shared" si="46"/>
        <v>Yes</v>
      </c>
      <c r="AE142" s="6" t="str">
        <f t="shared" si="48"/>
        <v>No</v>
      </c>
      <c r="AF142" s="6" t="str">
        <f t="shared" si="49"/>
        <v>Yes</v>
      </c>
      <c r="AH142" s="17"/>
      <c r="AI142" s="6" t="s">
        <v>525</v>
      </c>
      <c r="AK142" s="6" t="s">
        <v>525</v>
      </c>
      <c r="AM142" s="6" t="s">
        <v>525</v>
      </c>
    </row>
    <row r="143" spans="1:45" x14ac:dyDescent="0.45">
      <c r="A143" s="1" t="s">
        <v>67</v>
      </c>
      <c r="B143" s="1" t="s">
        <v>68</v>
      </c>
      <c r="C143" s="12">
        <v>1325857</v>
      </c>
      <c r="D143" s="12">
        <f t="shared" si="36"/>
        <v>1422157.03</v>
      </c>
      <c r="E143" s="1">
        <v>5</v>
      </c>
      <c r="F143" s="2">
        <v>0.3</v>
      </c>
      <c r="G143" s="2">
        <v>0.5</v>
      </c>
      <c r="H143" s="2">
        <v>0.7</v>
      </c>
      <c r="J143" s="4"/>
      <c r="K143" s="4">
        <v>1290980.58</v>
      </c>
      <c r="L143" s="4">
        <v>131176.45000000001</v>
      </c>
      <c r="M143" s="4"/>
      <c r="O143" s="14">
        <f t="shared" si="37"/>
        <v>96300.030000000028</v>
      </c>
      <c r="P143" s="15">
        <f t="shared" si="38"/>
        <v>7.263228990758433E-2</v>
      </c>
      <c r="R143" s="12">
        <f t="shared" si="39"/>
        <v>1422157.03</v>
      </c>
      <c r="S143" s="12">
        <f t="shared" si="40"/>
        <v>426647.109</v>
      </c>
      <c r="T143" s="12">
        <f t="shared" si="41"/>
        <v>711078.51500000001</v>
      </c>
      <c r="U143" s="12">
        <f t="shared" si="42"/>
        <v>995509.92099999997</v>
      </c>
      <c r="V143" s="17"/>
      <c r="W143" s="6" t="str">
        <f t="shared" si="43"/>
        <v>Yes</v>
      </c>
      <c r="AA143" s="6" t="str">
        <f t="shared" si="45"/>
        <v>Yes</v>
      </c>
      <c r="AE143" s="6" t="str">
        <f t="shared" si="48"/>
        <v>Yes</v>
      </c>
      <c r="AH143" s="17"/>
      <c r="AI143" s="6" t="s">
        <v>540</v>
      </c>
      <c r="AK143" s="6" t="s">
        <v>540</v>
      </c>
      <c r="AM143" s="6" t="s">
        <v>540</v>
      </c>
    </row>
    <row r="144" spans="1:45" x14ac:dyDescent="0.45">
      <c r="A144" s="1" t="s">
        <v>438</v>
      </c>
      <c r="B144" s="1" t="s">
        <v>439</v>
      </c>
      <c r="C144" s="12">
        <v>49814</v>
      </c>
      <c r="D144" s="12">
        <f t="shared" si="36"/>
        <v>48701.049999999996</v>
      </c>
      <c r="E144" s="1">
        <v>7</v>
      </c>
      <c r="F144" s="2">
        <v>0.15</v>
      </c>
      <c r="G144" s="2">
        <v>0.3</v>
      </c>
      <c r="H144" s="2">
        <v>0.4</v>
      </c>
      <c r="J144" s="4"/>
      <c r="K144" s="4"/>
      <c r="L144" s="4">
        <v>48701.049999999996</v>
      </c>
      <c r="M144" s="4"/>
      <c r="O144" s="14">
        <f t="shared" si="37"/>
        <v>-1112.9500000000044</v>
      </c>
      <c r="P144" s="15">
        <f t="shared" si="38"/>
        <v>-2.234211265909191E-2</v>
      </c>
      <c r="R144" s="12">
        <f t="shared" si="39"/>
        <v>48701.049999999996</v>
      </c>
      <c r="S144" s="12">
        <f t="shared" si="40"/>
        <v>7305.1574999999993</v>
      </c>
      <c r="T144" s="12">
        <f t="shared" si="41"/>
        <v>14610.314999999999</v>
      </c>
      <c r="U144" s="12">
        <f t="shared" si="42"/>
        <v>19480.419999999998</v>
      </c>
      <c r="V144" s="17"/>
      <c r="W144" s="6" t="str">
        <f t="shared" si="43"/>
        <v>No</v>
      </c>
      <c r="X144" s="6" t="str">
        <f t="shared" si="44"/>
        <v>Yes</v>
      </c>
      <c r="AA144" s="6" t="str">
        <f t="shared" si="45"/>
        <v>No</v>
      </c>
      <c r="AB144" s="6" t="str">
        <f t="shared" si="46"/>
        <v>Yes</v>
      </c>
      <c r="AE144" s="6" t="str">
        <f t="shared" si="48"/>
        <v>No</v>
      </c>
      <c r="AF144" s="6" t="str">
        <f t="shared" si="49"/>
        <v>Yes</v>
      </c>
      <c r="AH144" s="17"/>
      <c r="AI144" s="6" t="s">
        <v>525</v>
      </c>
      <c r="AK144" s="6" t="s">
        <v>525</v>
      </c>
      <c r="AM144" s="6" t="s">
        <v>525</v>
      </c>
    </row>
    <row r="145" spans="1:45" x14ac:dyDescent="0.45">
      <c r="A145" s="1" t="s">
        <v>441</v>
      </c>
      <c r="B145" s="1" t="s">
        <v>442</v>
      </c>
      <c r="C145" s="12">
        <v>83631</v>
      </c>
      <c r="D145" s="12">
        <f t="shared" si="36"/>
        <v>82643.23000000001</v>
      </c>
      <c r="E145" s="1">
        <v>7</v>
      </c>
      <c r="F145" s="2">
        <v>0.05</v>
      </c>
      <c r="G145" s="2">
        <v>0.1</v>
      </c>
      <c r="H145" s="2">
        <v>0.2</v>
      </c>
      <c r="J145" s="4"/>
      <c r="K145" s="4"/>
      <c r="L145" s="4">
        <v>82643.23000000001</v>
      </c>
      <c r="M145" s="4"/>
      <c r="O145" s="14">
        <f t="shared" si="37"/>
        <v>-987.76999999998952</v>
      </c>
      <c r="P145" s="15">
        <f t="shared" si="38"/>
        <v>-1.1811050926091873E-2</v>
      </c>
      <c r="R145" s="12">
        <f t="shared" si="39"/>
        <v>82643.23000000001</v>
      </c>
      <c r="S145" s="12">
        <f t="shared" si="40"/>
        <v>4132.1615000000011</v>
      </c>
      <c r="T145" s="12">
        <f t="shared" si="41"/>
        <v>8264.3230000000021</v>
      </c>
      <c r="U145" s="12">
        <f t="shared" si="42"/>
        <v>16528.646000000004</v>
      </c>
      <c r="V145" s="17"/>
      <c r="W145" s="6" t="str">
        <f t="shared" si="43"/>
        <v>No</v>
      </c>
      <c r="X145" s="6" t="str">
        <f t="shared" si="44"/>
        <v>Yes</v>
      </c>
      <c r="AA145" s="6" t="str">
        <f t="shared" si="45"/>
        <v>No</v>
      </c>
      <c r="AB145" s="6" t="str">
        <f t="shared" si="46"/>
        <v>Yes</v>
      </c>
      <c r="AE145" s="6" t="str">
        <f t="shared" si="48"/>
        <v>No</v>
      </c>
      <c r="AF145" s="6" t="str">
        <f t="shared" si="49"/>
        <v>Yes</v>
      </c>
      <c r="AH145" s="17"/>
      <c r="AI145" s="6" t="s">
        <v>525</v>
      </c>
      <c r="AK145" s="6" t="s">
        <v>525</v>
      </c>
      <c r="AM145" s="6" t="s">
        <v>525</v>
      </c>
    </row>
    <row r="146" spans="1:45" x14ac:dyDescent="0.45">
      <c r="A146" s="1" t="s">
        <v>444</v>
      </c>
      <c r="B146" s="1" t="s">
        <v>445</v>
      </c>
      <c r="C146" s="12">
        <v>32669</v>
      </c>
      <c r="D146" s="12">
        <f t="shared" si="36"/>
        <v>31929.05</v>
      </c>
      <c r="E146" s="1">
        <v>7</v>
      </c>
      <c r="F146" s="2">
        <v>0.15</v>
      </c>
      <c r="G146" s="2">
        <v>0.3</v>
      </c>
      <c r="H146" s="2">
        <v>0.4</v>
      </c>
      <c r="J146" s="4"/>
      <c r="K146" s="4"/>
      <c r="L146" s="4">
        <v>31929.05</v>
      </c>
      <c r="M146" s="4"/>
      <c r="O146" s="14">
        <f t="shared" si="37"/>
        <v>-739.95000000000073</v>
      </c>
      <c r="P146" s="15">
        <f t="shared" si="38"/>
        <v>-2.2649912761333397E-2</v>
      </c>
      <c r="R146" s="12">
        <f t="shared" si="39"/>
        <v>31929.05</v>
      </c>
      <c r="S146" s="12">
        <f t="shared" si="40"/>
        <v>4789.3575000000001</v>
      </c>
      <c r="T146" s="12">
        <f t="shared" si="41"/>
        <v>9578.7150000000001</v>
      </c>
      <c r="U146" s="12">
        <f t="shared" si="42"/>
        <v>12771.62</v>
      </c>
      <c r="V146" s="17"/>
      <c r="W146" s="6" t="str">
        <f t="shared" si="43"/>
        <v>No</v>
      </c>
      <c r="X146" s="6" t="str">
        <f t="shared" si="44"/>
        <v>Yes</v>
      </c>
      <c r="AA146" s="6" t="str">
        <f t="shared" si="45"/>
        <v>No</v>
      </c>
      <c r="AB146" s="6" t="str">
        <f t="shared" si="46"/>
        <v>Yes</v>
      </c>
      <c r="AE146" s="6" t="str">
        <f t="shared" si="48"/>
        <v>No</v>
      </c>
      <c r="AF146" s="6" t="str">
        <f t="shared" si="49"/>
        <v>Yes</v>
      </c>
      <c r="AH146" s="17"/>
      <c r="AI146" s="6" t="s">
        <v>525</v>
      </c>
      <c r="AK146" s="6" t="s">
        <v>525</v>
      </c>
      <c r="AM146" s="6" t="s">
        <v>525</v>
      </c>
    </row>
    <row r="147" spans="1:45" x14ac:dyDescent="0.45">
      <c r="A147" s="1" t="s">
        <v>447</v>
      </c>
      <c r="B147" s="1" t="s">
        <v>448</v>
      </c>
      <c r="C147" s="12">
        <v>23437</v>
      </c>
      <c r="D147" s="12">
        <f t="shared" si="36"/>
        <v>22552.86</v>
      </c>
      <c r="E147" s="1">
        <v>7</v>
      </c>
      <c r="F147" s="2">
        <v>0.15</v>
      </c>
      <c r="G147" s="2">
        <v>0.3</v>
      </c>
      <c r="H147" s="2">
        <v>0.4</v>
      </c>
      <c r="J147" s="4"/>
      <c r="K147" s="4"/>
      <c r="L147" s="4">
        <v>22552.86</v>
      </c>
      <c r="M147" s="4"/>
      <c r="O147" s="14">
        <f t="shared" si="37"/>
        <v>-884.13999999999942</v>
      </c>
      <c r="P147" s="15">
        <f t="shared" si="38"/>
        <v>-3.7724111447710859E-2</v>
      </c>
      <c r="R147" s="12">
        <f t="shared" si="39"/>
        <v>22552.86</v>
      </c>
      <c r="S147" s="12">
        <f t="shared" si="40"/>
        <v>3382.9290000000001</v>
      </c>
      <c r="T147" s="12">
        <f t="shared" si="41"/>
        <v>6765.8580000000002</v>
      </c>
      <c r="U147" s="12">
        <f t="shared" si="42"/>
        <v>9021.1440000000002</v>
      </c>
      <c r="V147" s="17"/>
      <c r="W147" s="6" t="str">
        <f t="shared" si="43"/>
        <v>No</v>
      </c>
      <c r="X147" s="6" t="str">
        <f t="shared" si="44"/>
        <v>Yes</v>
      </c>
      <c r="AA147" s="6" t="str">
        <f t="shared" si="45"/>
        <v>No</v>
      </c>
      <c r="AB147" s="6" t="str">
        <f t="shared" si="46"/>
        <v>Yes</v>
      </c>
      <c r="AE147" s="6" t="str">
        <f t="shared" si="48"/>
        <v>No</v>
      </c>
      <c r="AF147" s="6" t="str">
        <f t="shared" si="49"/>
        <v>Yes</v>
      </c>
      <c r="AH147" s="17"/>
      <c r="AI147" s="6" t="s">
        <v>525</v>
      </c>
      <c r="AK147" s="6" t="s">
        <v>525</v>
      </c>
      <c r="AM147" s="6" t="s">
        <v>525</v>
      </c>
    </row>
    <row r="148" spans="1:45" x14ac:dyDescent="0.45">
      <c r="A148" s="1" t="s">
        <v>450</v>
      </c>
      <c r="B148" s="1" t="s">
        <v>451</v>
      </c>
      <c r="C148" s="12">
        <v>73953</v>
      </c>
      <c r="D148" s="12">
        <f t="shared" si="36"/>
        <v>74575.87999999999</v>
      </c>
      <c r="E148" s="1">
        <v>7</v>
      </c>
      <c r="F148" s="2">
        <v>0.3</v>
      </c>
      <c r="G148" s="2">
        <v>0.5</v>
      </c>
      <c r="H148" s="2">
        <v>0.7</v>
      </c>
      <c r="J148" s="4"/>
      <c r="K148" s="4">
        <v>70138.2</v>
      </c>
      <c r="L148" s="4">
        <v>4437.6799999999994</v>
      </c>
      <c r="M148" s="4"/>
      <c r="O148" s="14">
        <f t="shared" si="37"/>
        <v>622.8799999999901</v>
      </c>
      <c r="P148" s="15">
        <f t="shared" si="38"/>
        <v>8.4226468162209803E-3</v>
      </c>
      <c r="R148" s="12">
        <f t="shared" si="39"/>
        <v>74575.87999999999</v>
      </c>
      <c r="S148" s="12">
        <f t="shared" si="40"/>
        <v>22372.763999999996</v>
      </c>
      <c r="T148" s="12">
        <f t="shared" si="41"/>
        <v>37287.939999999995</v>
      </c>
      <c r="U148" s="12">
        <f t="shared" si="42"/>
        <v>52203.115999999987</v>
      </c>
      <c r="V148" s="17"/>
      <c r="W148" s="6" t="str">
        <f t="shared" si="43"/>
        <v>Yes</v>
      </c>
      <c r="AA148" s="6" t="str">
        <f t="shared" si="45"/>
        <v>Yes</v>
      </c>
      <c r="AE148" s="6" t="str">
        <f t="shared" si="48"/>
        <v>Yes</v>
      </c>
      <c r="AH148" s="17"/>
      <c r="AI148" s="6" t="s">
        <v>540</v>
      </c>
      <c r="AK148" s="6" t="s">
        <v>540</v>
      </c>
      <c r="AM148" s="6" t="s">
        <v>540</v>
      </c>
    </row>
    <row r="149" spans="1:45" x14ac:dyDescent="0.45">
      <c r="A149" s="1" t="s">
        <v>453</v>
      </c>
      <c r="B149" s="1" t="s">
        <v>454</v>
      </c>
      <c r="C149" s="12">
        <v>86745</v>
      </c>
      <c r="D149" s="12">
        <f t="shared" si="36"/>
        <v>85794.659999999989</v>
      </c>
      <c r="E149" s="1">
        <v>7</v>
      </c>
      <c r="F149" s="2">
        <v>0.05</v>
      </c>
      <c r="G149" s="2">
        <v>0.15</v>
      </c>
      <c r="H149" s="2">
        <v>0.25</v>
      </c>
      <c r="J149" s="4"/>
      <c r="K149" s="4"/>
      <c r="L149" s="4">
        <v>85794.659999999989</v>
      </c>
      <c r="M149" s="4"/>
      <c r="O149" s="14">
        <f t="shared" si="37"/>
        <v>-950.34000000001106</v>
      </c>
      <c r="P149" s="15">
        <f t="shared" si="38"/>
        <v>-1.0955559398236336E-2</v>
      </c>
      <c r="R149" s="12">
        <f t="shared" si="39"/>
        <v>85794.659999999989</v>
      </c>
      <c r="S149" s="12">
        <f t="shared" si="40"/>
        <v>4289.7329999999993</v>
      </c>
      <c r="T149" s="12">
        <f t="shared" si="41"/>
        <v>12869.198999999999</v>
      </c>
      <c r="U149" s="12">
        <f t="shared" si="42"/>
        <v>21448.664999999997</v>
      </c>
      <c r="V149" s="17"/>
      <c r="W149" s="6" t="str">
        <f t="shared" si="43"/>
        <v>No</v>
      </c>
      <c r="X149" s="6" t="str">
        <f t="shared" si="44"/>
        <v>Yes</v>
      </c>
      <c r="AA149" s="6" t="str">
        <f t="shared" si="45"/>
        <v>No</v>
      </c>
      <c r="AB149" s="6" t="str">
        <f t="shared" si="46"/>
        <v>Yes</v>
      </c>
      <c r="AE149" s="6" t="str">
        <f t="shared" si="48"/>
        <v>No</v>
      </c>
      <c r="AF149" s="6" t="str">
        <f t="shared" si="49"/>
        <v>Yes</v>
      </c>
      <c r="AH149" s="17"/>
      <c r="AI149" s="6" t="s">
        <v>525</v>
      </c>
      <c r="AK149" s="6" t="s">
        <v>525</v>
      </c>
      <c r="AM149" s="6" t="s">
        <v>525</v>
      </c>
    </row>
    <row r="150" spans="1:45" x14ac:dyDescent="0.45">
      <c r="A150" s="1" t="s">
        <v>456</v>
      </c>
      <c r="B150" s="1" t="s">
        <v>457</v>
      </c>
      <c r="C150" s="12">
        <v>110027</v>
      </c>
      <c r="D150" s="12">
        <f t="shared" si="36"/>
        <v>110888.4</v>
      </c>
      <c r="E150" s="1">
        <v>7</v>
      </c>
      <c r="F150" s="2">
        <v>0.2</v>
      </c>
      <c r="G150" s="2">
        <v>0.35</v>
      </c>
      <c r="H150" s="2">
        <v>0.5</v>
      </c>
      <c r="J150" s="4"/>
      <c r="K150" s="4">
        <v>72615.55</v>
      </c>
      <c r="L150" s="4">
        <v>38272.85</v>
      </c>
      <c r="M150" s="4"/>
      <c r="O150" s="14">
        <f t="shared" si="37"/>
        <v>861.39999999999418</v>
      </c>
      <c r="P150" s="15">
        <f t="shared" si="38"/>
        <v>7.8289874303579497E-3</v>
      </c>
      <c r="R150" s="12">
        <f t="shared" si="39"/>
        <v>110888.4</v>
      </c>
      <c r="S150" s="12">
        <f t="shared" si="40"/>
        <v>22177.68</v>
      </c>
      <c r="T150" s="12">
        <f t="shared" si="41"/>
        <v>38810.939999999995</v>
      </c>
      <c r="U150" s="12">
        <f t="shared" si="42"/>
        <v>55444.2</v>
      </c>
      <c r="V150" s="17"/>
      <c r="W150" s="6" t="str">
        <f t="shared" si="43"/>
        <v>Yes</v>
      </c>
      <c r="AA150" s="6" t="str">
        <f t="shared" si="45"/>
        <v>Yes</v>
      </c>
      <c r="AE150" s="6" t="str">
        <f t="shared" si="48"/>
        <v>Yes</v>
      </c>
      <c r="AH150" s="17"/>
      <c r="AI150" s="6" t="s">
        <v>540</v>
      </c>
      <c r="AK150" s="6" t="s">
        <v>540</v>
      </c>
      <c r="AM150" s="6" t="s">
        <v>540</v>
      </c>
    </row>
    <row r="151" spans="1:45" x14ac:dyDescent="0.45">
      <c r="A151" s="1" t="s">
        <v>459</v>
      </c>
      <c r="B151" s="1" t="s">
        <v>460</v>
      </c>
      <c r="C151" s="12">
        <v>60371</v>
      </c>
      <c r="D151" s="12">
        <f t="shared" si="36"/>
        <v>65811.19</v>
      </c>
      <c r="E151" s="1">
        <v>7</v>
      </c>
      <c r="F151" s="2">
        <v>0.1</v>
      </c>
      <c r="G151" s="2">
        <v>0.2</v>
      </c>
      <c r="H151" s="2">
        <v>0.3</v>
      </c>
      <c r="J151" s="4"/>
      <c r="K151" s="4"/>
      <c r="L151" s="4">
        <v>65811.19</v>
      </c>
      <c r="M151" s="4"/>
      <c r="O151" s="14">
        <f t="shared" si="37"/>
        <v>5440.1900000000023</v>
      </c>
      <c r="P151" s="15">
        <f t="shared" si="38"/>
        <v>9.0112636862069578E-2</v>
      </c>
      <c r="R151" s="12">
        <f t="shared" si="39"/>
        <v>65811.19</v>
      </c>
      <c r="S151" s="12">
        <f t="shared" si="40"/>
        <v>6581.1190000000006</v>
      </c>
      <c r="T151" s="12">
        <f t="shared" si="41"/>
        <v>13162.238000000001</v>
      </c>
      <c r="U151" s="12">
        <f t="shared" si="42"/>
        <v>19743.357</v>
      </c>
      <c r="V151" s="17"/>
      <c r="W151" s="6" t="str">
        <f t="shared" si="43"/>
        <v>No</v>
      </c>
      <c r="X151" s="6" t="str">
        <f t="shared" si="44"/>
        <v>Yes</v>
      </c>
      <c r="AA151" s="6" t="str">
        <f t="shared" si="45"/>
        <v>No</v>
      </c>
      <c r="AB151" s="6" t="str">
        <f t="shared" si="46"/>
        <v>Yes</v>
      </c>
      <c r="AE151" s="6" t="str">
        <f t="shared" si="48"/>
        <v>No</v>
      </c>
      <c r="AF151" s="6" t="str">
        <f t="shared" si="49"/>
        <v>Yes</v>
      </c>
      <c r="AH151" s="17"/>
      <c r="AI151" s="6" t="s">
        <v>525</v>
      </c>
      <c r="AK151" s="6" t="s">
        <v>525</v>
      </c>
      <c r="AM151" s="6" t="s">
        <v>525</v>
      </c>
    </row>
    <row r="152" spans="1:45" x14ac:dyDescent="0.45">
      <c r="A152" s="1" t="s">
        <v>462</v>
      </c>
      <c r="B152" s="1" t="s">
        <v>463</v>
      </c>
      <c r="C152" s="12">
        <v>78941</v>
      </c>
      <c r="D152" s="12">
        <f t="shared" si="36"/>
        <v>82407.94</v>
      </c>
      <c r="E152" s="1">
        <v>7</v>
      </c>
      <c r="F152" s="2">
        <v>0.05</v>
      </c>
      <c r="G152" s="2">
        <v>0.15</v>
      </c>
      <c r="H152" s="2">
        <v>0.25</v>
      </c>
      <c r="J152" s="4"/>
      <c r="K152" s="4"/>
      <c r="L152" s="4">
        <v>82407.94</v>
      </c>
      <c r="M152" s="4"/>
      <c r="O152" s="14">
        <f t="shared" si="37"/>
        <v>3466.9400000000023</v>
      </c>
      <c r="P152" s="15">
        <f t="shared" si="38"/>
        <v>4.3918116061362311E-2</v>
      </c>
      <c r="R152" s="12">
        <f t="shared" si="39"/>
        <v>82407.94</v>
      </c>
      <c r="S152" s="12">
        <f t="shared" si="40"/>
        <v>4120.3969999999999</v>
      </c>
      <c r="T152" s="12">
        <f t="shared" si="41"/>
        <v>12361.191000000001</v>
      </c>
      <c r="U152" s="12">
        <f t="shared" si="42"/>
        <v>20601.985000000001</v>
      </c>
      <c r="V152" s="17"/>
      <c r="W152" s="6" t="str">
        <f t="shared" si="43"/>
        <v>No</v>
      </c>
      <c r="X152" s="6" t="str">
        <f t="shared" si="44"/>
        <v>Yes</v>
      </c>
      <c r="AA152" s="6" t="str">
        <f t="shared" si="45"/>
        <v>No</v>
      </c>
      <c r="AB152" s="6" t="str">
        <f t="shared" si="46"/>
        <v>Yes</v>
      </c>
      <c r="AE152" s="6" t="str">
        <f t="shared" si="48"/>
        <v>No</v>
      </c>
      <c r="AF152" s="6" t="str">
        <f t="shared" si="49"/>
        <v>Yes</v>
      </c>
      <c r="AH152" s="17"/>
      <c r="AI152" s="6" t="s">
        <v>525</v>
      </c>
      <c r="AK152" s="6" t="s">
        <v>525</v>
      </c>
      <c r="AM152" s="6" t="s">
        <v>525</v>
      </c>
    </row>
    <row r="153" spans="1:45" x14ac:dyDescent="0.45">
      <c r="A153" s="1" t="s">
        <v>70</v>
      </c>
      <c r="B153" s="1" t="s">
        <v>71</v>
      </c>
      <c r="C153" s="12">
        <v>362815</v>
      </c>
      <c r="D153" s="12">
        <f t="shared" si="36"/>
        <v>404879.86</v>
      </c>
      <c r="E153" s="1">
        <v>5</v>
      </c>
      <c r="F153" s="2">
        <v>0.25</v>
      </c>
      <c r="G153" s="2">
        <v>0.4</v>
      </c>
      <c r="H153" s="2">
        <v>0.6</v>
      </c>
      <c r="J153" s="4"/>
      <c r="K153" s="4">
        <v>339270.23</v>
      </c>
      <c r="L153" s="4">
        <v>65609.63</v>
      </c>
      <c r="M153" s="4"/>
      <c r="O153" s="14">
        <f t="shared" si="37"/>
        <v>42064.859999999986</v>
      </c>
      <c r="P153" s="15">
        <f t="shared" si="38"/>
        <v>0.115940245028458</v>
      </c>
      <c r="R153" s="12">
        <f t="shared" si="39"/>
        <v>404879.86</v>
      </c>
      <c r="S153" s="12">
        <f t="shared" si="40"/>
        <v>101219.965</v>
      </c>
      <c r="T153" s="12">
        <f t="shared" si="41"/>
        <v>161951.94400000002</v>
      </c>
      <c r="U153" s="12">
        <f t="shared" si="42"/>
        <v>242927.91599999997</v>
      </c>
      <c r="V153" s="17"/>
      <c r="W153" s="6" t="str">
        <f t="shared" si="43"/>
        <v>Yes</v>
      </c>
      <c r="AA153" s="6" t="str">
        <f t="shared" si="45"/>
        <v>Yes</v>
      </c>
      <c r="AE153" s="6" t="str">
        <f t="shared" si="48"/>
        <v>Yes</v>
      </c>
      <c r="AH153" s="17"/>
      <c r="AI153" s="6" t="s">
        <v>540</v>
      </c>
      <c r="AK153" s="6" t="s">
        <v>540</v>
      </c>
      <c r="AM153" s="6" t="s">
        <v>540</v>
      </c>
    </row>
    <row r="154" spans="1:45" x14ac:dyDescent="0.45">
      <c r="A154" s="1" t="s">
        <v>73</v>
      </c>
      <c r="B154" s="1" t="s">
        <v>74</v>
      </c>
      <c r="C154" s="12">
        <v>2731567</v>
      </c>
      <c r="D154" s="12">
        <f t="shared" si="36"/>
        <v>2936667.4699999997</v>
      </c>
      <c r="E154" s="1">
        <v>5</v>
      </c>
      <c r="F154" s="2">
        <v>0.3</v>
      </c>
      <c r="G154" s="2">
        <v>0.5</v>
      </c>
      <c r="H154" s="2">
        <v>0.7</v>
      </c>
      <c r="J154" s="4">
        <v>2936667.4699999997</v>
      </c>
      <c r="K154" s="4"/>
      <c r="L154" s="4"/>
      <c r="M154" s="4"/>
      <c r="O154" s="14">
        <f t="shared" si="37"/>
        <v>205100.46999999974</v>
      </c>
      <c r="P154" s="15">
        <f t="shared" si="38"/>
        <v>7.508527888937E-2</v>
      </c>
      <c r="R154" s="12">
        <f t="shared" si="39"/>
        <v>2936667.4699999997</v>
      </c>
      <c r="S154" s="12">
        <f t="shared" si="40"/>
        <v>881000.24099999992</v>
      </c>
      <c r="T154" s="12">
        <f t="shared" si="41"/>
        <v>1468333.7349999999</v>
      </c>
      <c r="U154" s="12">
        <f t="shared" si="42"/>
        <v>2055667.2289999996</v>
      </c>
      <c r="V154" s="17"/>
      <c r="W154" s="6" t="str">
        <f t="shared" si="43"/>
        <v>Yes</v>
      </c>
      <c r="AA154" s="6" t="str">
        <f t="shared" si="45"/>
        <v>Yes</v>
      </c>
      <c r="AE154" s="6" t="str">
        <f t="shared" si="48"/>
        <v>Yes</v>
      </c>
      <c r="AH154" s="17"/>
      <c r="AI154" s="6" t="s">
        <v>540</v>
      </c>
      <c r="AK154" s="6" t="s">
        <v>540</v>
      </c>
      <c r="AM154" s="6" t="s">
        <v>540</v>
      </c>
    </row>
    <row r="155" spans="1:45" x14ac:dyDescent="0.45">
      <c r="A155" s="1" t="s">
        <v>465</v>
      </c>
      <c r="B155" s="1" t="s">
        <v>466</v>
      </c>
      <c r="C155" s="12">
        <v>26093</v>
      </c>
      <c r="D155" s="12">
        <f t="shared" si="36"/>
        <v>28328.47</v>
      </c>
      <c r="E155" s="1">
        <v>7</v>
      </c>
      <c r="F155" s="2">
        <v>0.05</v>
      </c>
      <c r="G155" s="2">
        <v>0.15</v>
      </c>
      <c r="H155" s="2">
        <v>0.25</v>
      </c>
      <c r="J155" s="4"/>
      <c r="K155" s="4">
        <v>1531.79</v>
      </c>
      <c r="L155" s="4">
        <v>26796.68</v>
      </c>
      <c r="M155" s="4"/>
      <c r="O155" s="14">
        <f t="shared" si="37"/>
        <v>2235.4700000000012</v>
      </c>
      <c r="P155" s="15">
        <f t="shared" si="38"/>
        <v>8.5673169049170314E-2</v>
      </c>
      <c r="R155" s="12">
        <f t="shared" si="39"/>
        <v>28328.47</v>
      </c>
      <c r="S155" s="12">
        <f t="shared" si="40"/>
        <v>1416.4235000000001</v>
      </c>
      <c r="T155" s="12">
        <f t="shared" si="41"/>
        <v>4249.2704999999996</v>
      </c>
      <c r="U155" s="12">
        <f t="shared" si="42"/>
        <v>7082.1175000000003</v>
      </c>
      <c r="V155" s="17"/>
      <c r="W155" s="6" t="str">
        <f t="shared" si="43"/>
        <v>Yes</v>
      </c>
      <c r="AA155" s="6" t="str">
        <f t="shared" si="45"/>
        <v>No</v>
      </c>
      <c r="AB155" s="6" t="str">
        <f t="shared" si="46"/>
        <v>Yes</v>
      </c>
      <c r="AE155" s="6" t="str">
        <f t="shared" si="48"/>
        <v>No</v>
      </c>
      <c r="AF155" s="6" t="str">
        <f t="shared" si="49"/>
        <v>Yes</v>
      </c>
      <c r="AH155" s="17"/>
      <c r="AI155" s="6" t="s">
        <v>540</v>
      </c>
      <c r="AK155" s="6" t="s">
        <v>541</v>
      </c>
      <c r="AM155" s="6" t="s">
        <v>541</v>
      </c>
      <c r="AO155" s="23" t="s">
        <v>538</v>
      </c>
      <c r="AP155" s="24">
        <f>T155-K155</f>
        <v>2717.4804999999997</v>
      </c>
      <c r="AQ155" s="25">
        <f>AP155/L155*100</f>
        <v>10.141108898565045</v>
      </c>
      <c r="AR155" s="11">
        <f>U155-K155</f>
        <v>5550.3275000000003</v>
      </c>
      <c r="AS155" s="19">
        <f>AR155/L155*100</f>
        <v>20.71274314579269</v>
      </c>
    </row>
    <row r="156" spans="1:45" x14ac:dyDescent="0.45">
      <c r="A156" s="1" t="s">
        <v>76</v>
      </c>
      <c r="B156" s="1" t="s">
        <v>77</v>
      </c>
      <c r="C156" s="12">
        <v>458861</v>
      </c>
      <c r="D156" s="12">
        <f t="shared" si="36"/>
        <v>495557.11</v>
      </c>
      <c r="E156" s="1">
        <v>5</v>
      </c>
      <c r="F156" s="2">
        <v>0.3</v>
      </c>
      <c r="G156" s="2">
        <v>0.5</v>
      </c>
      <c r="H156" s="2">
        <v>0.7</v>
      </c>
      <c r="J156" s="4"/>
      <c r="K156" s="4">
        <v>380215.84</v>
      </c>
      <c r="L156" s="4">
        <v>115341.26999999999</v>
      </c>
      <c r="M156" s="4"/>
      <c r="O156" s="14">
        <f t="shared" si="37"/>
        <v>36696.109999999986</v>
      </c>
      <c r="P156" s="15">
        <f t="shared" si="38"/>
        <v>7.997217022148316E-2</v>
      </c>
      <c r="R156" s="12">
        <f t="shared" si="39"/>
        <v>495557.11</v>
      </c>
      <c r="S156" s="12">
        <f t="shared" si="40"/>
        <v>148667.133</v>
      </c>
      <c r="T156" s="12">
        <f t="shared" si="41"/>
        <v>247778.55499999999</v>
      </c>
      <c r="U156" s="12">
        <f t="shared" si="42"/>
        <v>346889.97699999996</v>
      </c>
      <c r="V156" s="17"/>
      <c r="W156" s="6" t="str">
        <f t="shared" si="43"/>
        <v>Yes</v>
      </c>
      <c r="AA156" s="6" t="str">
        <f t="shared" si="45"/>
        <v>Yes</v>
      </c>
      <c r="AE156" s="6" t="str">
        <f t="shared" si="48"/>
        <v>Yes</v>
      </c>
      <c r="AH156" s="17"/>
      <c r="AI156" s="6" t="s">
        <v>540</v>
      </c>
      <c r="AK156" s="6" t="s">
        <v>540</v>
      </c>
      <c r="AM156" s="6" t="s">
        <v>540</v>
      </c>
    </row>
    <row r="157" spans="1:45" x14ac:dyDescent="0.45">
      <c r="A157" s="1" t="s">
        <v>468</v>
      </c>
      <c r="B157" s="1" t="s">
        <v>469</v>
      </c>
      <c r="C157" s="12">
        <v>194922</v>
      </c>
      <c r="D157" s="12">
        <f t="shared" si="36"/>
        <v>212767.21999999997</v>
      </c>
      <c r="E157" s="1">
        <v>7</v>
      </c>
      <c r="F157" s="2">
        <v>0.25</v>
      </c>
      <c r="G157" s="2">
        <v>0.4</v>
      </c>
      <c r="H157" s="2">
        <v>0.6</v>
      </c>
      <c r="J157" s="4"/>
      <c r="K157" s="4">
        <v>126263.73</v>
      </c>
      <c r="L157" s="4">
        <v>86503.489999999991</v>
      </c>
      <c r="M157" s="4"/>
      <c r="O157" s="14">
        <f t="shared" si="37"/>
        <v>17845.219999999972</v>
      </c>
      <c r="P157" s="15">
        <f t="shared" si="38"/>
        <v>9.1550568945526781E-2</v>
      </c>
      <c r="R157" s="12">
        <f t="shared" si="39"/>
        <v>212767.21999999997</v>
      </c>
      <c r="S157" s="12">
        <f t="shared" si="40"/>
        <v>53191.804999999993</v>
      </c>
      <c r="T157" s="12">
        <f t="shared" si="41"/>
        <v>85106.887999999992</v>
      </c>
      <c r="U157" s="12">
        <f t="shared" si="42"/>
        <v>127660.33199999998</v>
      </c>
      <c r="V157" s="17"/>
      <c r="W157" s="6" t="str">
        <f t="shared" si="43"/>
        <v>Yes</v>
      </c>
      <c r="AA157" s="6" t="str">
        <f t="shared" si="45"/>
        <v>Yes</v>
      </c>
      <c r="AE157" s="6" t="str">
        <f t="shared" si="48"/>
        <v>No</v>
      </c>
      <c r="AF157" s="6" t="str">
        <f t="shared" si="49"/>
        <v>No</v>
      </c>
      <c r="AG157" s="6" t="str">
        <f t="shared" si="50"/>
        <v>No</v>
      </c>
      <c r="AH157" s="17"/>
      <c r="AI157" s="6" t="s">
        <v>540</v>
      </c>
      <c r="AK157" s="6" t="s">
        <v>540</v>
      </c>
      <c r="AM157" s="6" t="s">
        <v>541</v>
      </c>
      <c r="AO157" s="23" t="s">
        <v>538</v>
      </c>
      <c r="AP157" s="24"/>
      <c r="AQ157" s="24"/>
      <c r="AR157" s="11">
        <f>U157-K157</f>
        <v>1396.6019999999844</v>
      </c>
      <c r="AS157" s="19">
        <f>AR157/L157*100</f>
        <v>1.6145036460378472</v>
      </c>
    </row>
    <row r="158" spans="1:45" x14ac:dyDescent="0.45">
      <c r="A158" s="1" t="s">
        <v>471</v>
      </c>
      <c r="B158" s="1" t="s">
        <v>472</v>
      </c>
      <c r="C158" s="12">
        <v>118732</v>
      </c>
      <c r="D158" s="12">
        <f t="shared" si="36"/>
        <v>127630.01999999999</v>
      </c>
      <c r="E158" s="1">
        <v>7</v>
      </c>
      <c r="F158" s="2">
        <v>0.25</v>
      </c>
      <c r="G158" s="2">
        <v>0.4</v>
      </c>
      <c r="H158" s="2">
        <v>0.6</v>
      </c>
      <c r="J158" s="4"/>
      <c r="K158" s="4">
        <v>101353.39</v>
      </c>
      <c r="L158" s="4">
        <v>26276.629999999997</v>
      </c>
      <c r="M158" s="4"/>
      <c r="O158" s="14">
        <f t="shared" si="37"/>
        <v>8898.0199999999895</v>
      </c>
      <c r="P158" s="15">
        <f t="shared" si="38"/>
        <v>7.494205437455774E-2</v>
      </c>
      <c r="R158" s="12">
        <f t="shared" si="39"/>
        <v>127630.01999999999</v>
      </c>
      <c r="S158" s="12">
        <f t="shared" si="40"/>
        <v>31907.504999999997</v>
      </c>
      <c r="T158" s="12">
        <f t="shared" si="41"/>
        <v>51052.008000000002</v>
      </c>
      <c r="U158" s="12">
        <f t="shared" si="42"/>
        <v>76578.011999999988</v>
      </c>
      <c r="V158" s="17"/>
      <c r="W158" s="6" t="str">
        <f t="shared" si="43"/>
        <v>Yes</v>
      </c>
      <c r="AA158" s="6" t="str">
        <f t="shared" si="45"/>
        <v>Yes</v>
      </c>
      <c r="AE158" s="6" t="str">
        <f t="shared" si="48"/>
        <v>Yes</v>
      </c>
      <c r="AH158" s="17"/>
      <c r="AI158" s="6" t="s">
        <v>540</v>
      </c>
      <c r="AK158" s="6" t="s">
        <v>540</v>
      </c>
      <c r="AM158" s="6" t="s">
        <v>540</v>
      </c>
    </row>
    <row r="159" spans="1:45" x14ac:dyDescent="0.45">
      <c r="A159" s="1" t="s">
        <v>474</v>
      </c>
      <c r="B159" s="1" t="s">
        <v>475</v>
      </c>
      <c r="C159" s="12">
        <v>26865</v>
      </c>
      <c r="D159" s="12">
        <f t="shared" si="36"/>
        <v>28890.6</v>
      </c>
      <c r="E159" s="1">
        <v>7</v>
      </c>
      <c r="F159" s="2">
        <v>0.2</v>
      </c>
      <c r="G159" s="2">
        <v>0.35</v>
      </c>
      <c r="H159" s="2">
        <v>0.5</v>
      </c>
      <c r="J159" s="4"/>
      <c r="K159" s="4"/>
      <c r="L159" s="4">
        <v>28890.6</v>
      </c>
      <c r="M159" s="4"/>
      <c r="O159" s="14">
        <f t="shared" si="37"/>
        <v>2025.5999999999985</v>
      </c>
      <c r="P159" s="15">
        <f t="shared" si="38"/>
        <v>7.5399218313791122E-2</v>
      </c>
      <c r="R159" s="12">
        <f t="shared" si="39"/>
        <v>28890.6</v>
      </c>
      <c r="S159" s="12">
        <f t="shared" si="40"/>
        <v>5778.12</v>
      </c>
      <c r="T159" s="12">
        <f t="shared" si="41"/>
        <v>10111.709999999999</v>
      </c>
      <c r="U159" s="12">
        <f t="shared" si="42"/>
        <v>14445.3</v>
      </c>
      <c r="V159" s="17"/>
      <c r="W159" s="6" t="str">
        <f t="shared" si="43"/>
        <v>No</v>
      </c>
      <c r="X159" s="6" t="str">
        <f t="shared" si="44"/>
        <v>Yes</v>
      </c>
      <c r="AA159" s="6" t="str">
        <f t="shared" si="45"/>
        <v>No</v>
      </c>
      <c r="AB159" s="6" t="str">
        <f t="shared" si="46"/>
        <v>Yes</v>
      </c>
      <c r="AE159" s="6" t="str">
        <f t="shared" si="48"/>
        <v>No</v>
      </c>
      <c r="AF159" s="6" t="str">
        <f t="shared" si="49"/>
        <v>Yes</v>
      </c>
      <c r="AH159" s="17"/>
      <c r="AI159" s="6" t="s">
        <v>525</v>
      </c>
      <c r="AK159" s="6" t="s">
        <v>525</v>
      </c>
      <c r="AM159" s="6" t="s">
        <v>525</v>
      </c>
    </row>
    <row r="160" spans="1:45" x14ac:dyDescent="0.45">
      <c r="A160" s="1" t="s">
        <v>477</v>
      </c>
      <c r="B160" s="1" t="s">
        <v>478</v>
      </c>
      <c r="C160" s="12">
        <v>74365</v>
      </c>
      <c r="D160" s="12">
        <f t="shared" si="36"/>
        <v>84522.76999999999</v>
      </c>
      <c r="E160" s="1">
        <v>7</v>
      </c>
      <c r="F160" s="2">
        <v>0.2</v>
      </c>
      <c r="G160" s="2">
        <v>0.35</v>
      </c>
      <c r="H160" s="2">
        <v>0.5</v>
      </c>
      <c r="J160" s="4"/>
      <c r="K160" s="4"/>
      <c r="L160" s="4">
        <v>84522.76999999999</v>
      </c>
      <c r="M160" s="4"/>
      <c r="O160" s="14">
        <f t="shared" si="37"/>
        <v>10157.76999999999</v>
      </c>
      <c r="P160" s="15">
        <f t="shared" si="38"/>
        <v>0.13659342432595964</v>
      </c>
      <c r="R160" s="12">
        <f t="shared" si="39"/>
        <v>84522.76999999999</v>
      </c>
      <c r="S160" s="12">
        <f t="shared" si="40"/>
        <v>16904.554</v>
      </c>
      <c r="T160" s="12">
        <f t="shared" si="41"/>
        <v>29582.969499999996</v>
      </c>
      <c r="U160" s="12">
        <f t="shared" si="42"/>
        <v>42261.384999999995</v>
      </c>
      <c r="V160" s="17"/>
      <c r="W160" s="6" t="str">
        <f t="shared" si="43"/>
        <v>No</v>
      </c>
      <c r="X160" s="6" t="str">
        <f t="shared" si="44"/>
        <v>Yes</v>
      </c>
      <c r="AA160" s="6" t="str">
        <f t="shared" si="45"/>
        <v>No</v>
      </c>
      <c r="AB160" s="6" t="str">
        <f t="shared" si="46"/>
        <v>Yes</v>
      </c>
      <c r="AE160" s="6" t="str">
        <f t="shared" si="48"/>
        <v>No</v>
      </c>
      <c r="AF160" s="6" t="str">
        <f t="shared" si="49"/>
        <v>Yes</v>
      </c>
      <c r="AH160" s="17"/>
      <c r="AI160" s="6" t="s">
        <v>525</v>
      </c>
      <c r="AK160" s="6" t="s">
        <v>525</v>
      </c>
      <c r="AM160" s="6" t="s">
        <v>525</v>
      </c>
    </row>
    <row r="161" spans="1:39" x14ac:dyDescent="0.45">
      <c r="A161" s="1" t="s">
        <v>480</v>
      </c>
      <c r="B161" s="1" t="s">
        <v>481</v>
      </c>
      <c r="C161" s="12">
        <v>15649</v>
      </c>
      <c r="D161" s="12">
        <f t="shared" si="36"/>
        <v>16044.220000000001</v>
      </c>
      <c r="E161" s="1">
        <v>7</v>
      </c>
      <c r="F161" s="2">
        <v>0.2</v>
      </c>
      <c r="G161" s="2">
        <v>0.35</v>
      </c>
      <c r="H161" s="2">
        <v>0.5</v>
      </c>
      <c r="J161" s="4"/>
      <c r="K161" s="4"/>
      <c r="L161" s="4">
        <v>16044.220000000001</v>
      </c>
      <c r="M161" s="4"/>
      <c r="O161" s="14">
        <f t="shared" si="37"/>
        <v>395.22000000000116</v>
      </c>
      <c r="P161" s="15">
        <f t="shared" si="38"/>
        <v>2.5255287877819742E-2</v>
      </c>
      <c r="R161" s="12">
        <f t="shared" si="39"/>
        <v>16044.220000000001</v>
      </c>
      <c r="S161" s="12">
        <f t="shared" si="40"/>
        <v>3208.8440000000005</v>
      </c>
      <c r="T161" s="12">
        <f t="shared" si="41"/>
        <v>5615.4769999999999</v>
      </c>
      <c r="U161" s="12">
        <f t="shared" si="42"/>
        <v>8022.1100000000006</v>
      </c>
      <c r="V161" s="17"/>
      <c r="W161" s="6" t="str">
        <f t="shared" si="43"/>
        <v>No</v>
      </c>
      <c r="X161" s="6" t="str">
        <f t="shared" si="44"/>
        <v>Yes</v>
      </c>
      <c r="AA161" s="6" t="str">
        <f t="shared" si="45"/>
        <v>No</v>
      </c>
      <c r="AB161" s="6" t="str">
        <f t="shared" si="46"/>
        <v>Yes</v>
      </c>
      <c r="AE161" s="6" t="str">
        <f t="shared" si="48"/>
        <v>No</v>
      </c>
      <c r="AF161" s="6" t="str">
        <f t="shared" si="49"/>
        <v>Yes</v>
      </c>
      <c r="AH161" s="17"/>
      <c r="AI161" s="6" t="s">
        <v>525</v>
      </c>
      <c r="AK161" s="6" t="s">
        <v>525</v>
      </c>
      <c r="AM161" s="6" t="s">
        <v>525</v>
      </c>
    </row>
    <row r="162" spans="1:39" x14ac:dyDescent="0.45">
      <c r="A162" s="1" t="s">
        <v>483</v>
      </c>
      <c r="B162" s="1" t="s">
        <v>484</v>
      </c>
      <c r="C162" s="12">
        <v>106972</v>
      </c>
      <c r="D162" s="12">
        <f t="shared" si="36"/>
        <v>117562.20999999999</v>
      </c>
      <c r="E162" s="1">
        <v>7</v>
      </c>
      <c r="F162" s="2">
        <v>0.15</v>
      </c>
      <c r="G162" s="2">
        <v>0.3</v>
      </c>
      <c r="H162" s="2">
        <v>0.4</v>
      </c>
      <c r="J162" s="4"/>
      <c r="K162" s="4">
        <v>100022.65</v>
      </c>
      <c r="L162" s="4">
        <v>17539.560000000001</v>
      </c>
      <c r="M162" s="4"/>
      <c r="O162" s="14">
        <f t="shared" si="37"/>
        <v>10590.209999999992</v>
      </c>
      <c r="P162" s="15">
        <f t="shared" si="38"/>
        <v>9.8999831731668028E-2</v>
      </c>
      <c r="R162" s="12">
        <f t="shared" si="39"/>
        <v>117562.20999999999</v>
      </c>
      <c r="S162" s="12">
        <f t="shared" si="40"/>
        <v>17634.331499999997</v>
      </c>
      <c r="T162" s="12">
        <f t="shared" si="41"/>
        <v>35268.662999999993</v>
      </c>
      <c r="U162" s="12">
        <f t="shared" si="42"/>
        <v>47024.883999999998</v>
      </c>
      <c r="V162" s="17"/>
      <c r="W162" s="6" t="str">
        <f t="shared" si="43"/>
        <v>Yes</v>
      </c>
      <c r="AA162" s="6" t="str">
        <f t="shared" si="45"/>
        <v>Yes</v>
      </c>
      <c r="AE162" s="6" t="str">
        <f t="shared" si="48"/>
        <v>Yes</v>
      </c>
      <c r="AH162" s="17"/>
      <c r="AI162" s="6" t="s">
        <v>540</v>
      </c>
      <c r="AK162" s="6" t="s">
        <v>540</v>
      </c>
      <c r="AM162" s="6" t="s">
        <v>540</v>
      </c>
    </row>
    <row r="163" spans="1:39" x14ac:dyDescent="0.45">
      <c r="A163" s="1" t="s">
        <v>486</v>
      </c>
      <c r="B163" s="1" t="s">
        <v>487</v>
      </c>
      <c r="C163" s="12">
        <v>15070</v>
      </c>
      <c r="D163" s="12">
        <f t="shared" si="36"/>
        <v>15537.529999999999</v>
      </c>
      <c r="E163" s="1">
        <v>7</v>
      </c>
      <c r="F163" s="2">
        <v>0.05</v>
      </c>
      <c r="G163" s="2">
        <v>0.1</v>
      </c>
      <c r="H163" s="2">
        <v>0.2</v>
      </c>
      <c r="J163" s="4"/>
      <c r="K163" s="4"/>
      <c r="L163" s="4">
        <v>15537.529999999999</v>
      </c>
      <c r="M163" s="4"/>
      <c r="O163" s="14">
        <f t="shared" si="37"/>
        <v>467.52999999999884</v>
      </c>
      <c r="P163" s="15">
        <f t="shared" si="38"/>
        <v>3.1023888520238806E-2</v>
      </c>
      <c r="R163" s="12">
        <f t="shared" si="39"/>
        <v>15537.529999999999</v>
      </c>
      <c r="S163" s="12">
        <f t="shared" si="40"/>
        <v>776.87649999999996</v>
      </c>
      <c r="T163" s="12">
        <f t="shared" si="41"/>
        <v>1553.7529999999999</v>
      </c>
      <c r="U163" s="12">
        <f t="shared" si="42"/>
        <v>3107.5059999999999</v>
      </c>
      <c r="V163" s="17"/>
      <c r="W163" s="6" t="str">
        <f t="shared" si="43"/>
        <v>No</v>
      </c>
      <c r="X163" s="6" t="str">
        <f t="shared" si="44"/>
        <v>Yes</v>
      </c>
      <c r="AA163" s="6" t="str">
        <f t="shared" si="45"/>
        <v>No</v>
      </c>
      <c r="AB163" s="6" t="str">
        <f t="shared" si="46"/>
        <v>Yes</v>
      </c>
      <c r="AE163" s="6" t="str">
        <f t="shared" si="48"/>
        <v>No</v>
      </c>
      <c r="AF163" s="6" t="str">
        <f t="shared" si="49"/>
        <v>Yes</v>
      </c>
      <c r="AH163" s="17"/>
      <c r="AI163" s="6" t="s">
        <v>525</v>
      </c>
      <c r="AK163" s="6" t="s">
        <v>525</v>
      </c>
      <c r="AM163" s="6" t="s">
        <v>525</v>
      </c>
    </row>
    <row r="164" spans="1:39" x14ac:dyDescent="0.45">
      <c r="A164" s="1" t="s">
        <v>489</v>
      </c>
      <c r="B164" s="1" t="s">
        <v>490</v>
      </c>
      <c r="C164" s="12">
        <v>51024</v>
      </c>
      <c r="D164" s="12">
        <f t="shared" si="36"/>
        <v>56664.25</v>
      </c>
      <c r="E164" s="1">
        <v>7</v>
      </c>
      <c r="F164" s="2">
        <v>0.2</v>
      </c>
      <c r="G164" s="2">
        <v>0.35</v>
      </c>
      <c r="H164" s="2">
        <v>0.5</v>
      </c>
      <c r="J164" s="4"/>
      <c r="K164" s="4"/>
      <c r="L164" s="4">
        <v>56664.25</v>
      </c>
      <c r="M164" s="4"/>
      <c r="O164" s="14">
        <f t="shared" si="37"/>
        <v>5640.25</v>
      </c>
      <c r="P164" s="15">
        <f t="shared" si="38"/>
        <v>0.11054111790529947</v>
      </c>
      <c r="R164" s="12">
        <f t="shared" si="39"/>
        <v>56664.25</v>
      </c>
      <c r="S164" s="12">
        <f t="shared" si="40"/>
        <v>11332.85</v>
      </c>
      <c r="T164" s="12">
        <f t="shared" si="41"/>
        <v>19832.487499999999</v>
      </c>
      <c r="U164" s="12">
        <f t="shared" si="42"/>
        <v>28332.125</v>
      </c>
      <c r="V164" s="17"/>
      <c r="W164" s="6" t="str">
        <f t="shared" si="43"/>
        <v>No</v>
      </c>
      <c r="X164" s="6" t="str">
        <f t="shared" si="44"/>
        <v>Yes</v>
      </c>
      <c r="AA164" s="6" t="str">
        <f t="shared" si="45"/>
        <v>No</v>
      </c>
      <c r="AB164" s="6" t="str">
        <f t="shared" si="46"/>
        <v>Yes</v>
      </c>
      <c r="AE164" s="6" t="str">
        <f t="shared" si="48"/>
        <v>No</v>
      </c>
      <c r="AF164" s="6" t="str">
        <f t="shared" si="49"/>
        <v>Yes</v>
      </c>
      <c r="AH164" s="17"/>
      <c r="AI164" s="6" t="s">
        <v>525</v>
      </c>
      <c r="AK164" s="6" t="s">
        <v>525</v>
      </c>
      <c r="AM164" s="6" t="s">
        <v>525</v>
      </c>
    </row>
    <row r="165" spans="1:39" x14ac:dyDescent="0.45">
      <c r="A165" s="1" t="s">
        <v>492</v>
      </c>
      <c r="B165" s="1" t="s">
        <v>493</v>
      </c>
      <c r="C165" s="12">
        <v>6854</v>
      </c>
      <c r="D165" s="12">
        <f t="shared" si="36"/>
        <v>7335.15</v>
      </c>
      <c r="E165" s="1">
        <v>7</v>
      </c>
      <c r="F165" s="2">
        <v>0.2</v>
      </c>
      <c r="G165" s="2">
        <v>0.35</v>
      </c>
      <c r="H165" s="2">
        <v>0.5</v>
      </c>
      <c r="J165" s="4"/>
      <c r="K165" s="4"/>
      <c r="L165" s="4">
        <v>7335.15</v>
      </c>
      <c r="M165" s="4"/>
      <c r="O165" s="14">
        <f t="shared" si="37"/>
        <v>481.14999999999964</v>
      </c>
      <c r="P165" s="15">
        <f t="shared" si="38"/>
        <v>7.0199883279836534E-2</v>
      </c>
      <c r="R165" s="12">
        <f t="shared" si="39"/>
        <v>7335.15</v>
      </c>
      <c r="S165" s="12">
        <f t="shared" si="40"/>
        <v>1467.03</v>
      </c>
      <c r="T165" s="12">
        <f t="shared" si="41"/>
        <v>2567.3024999999998</v>
      </c>
      <c r="U165" s="12">
        <f t="shared" si="42"/>
        <v>3667.5749999999998</v>
      </c>
      <c r="V165" s="17"/>
      <c r="W165" s="6" t="str">
        <f t="shared" si="43"/>
        <v>No</v>
      </c>
      <c r="X165" s="6" t="str">
        <f t="shared" si="44"/>
        <v>Yes</v>
      </c>
      <c r="AA165" s="6" t="str">
        <f t="shared" si="45"/>
        <v>No</v>
      </c>
      <c r="AB165" s="6" t="str">
        <f t="shared" si="46"/>
        <v>Yes</v>
      </c>
      <c r="AE165" s="6" t="str">
        <f t="shared" si="48"/>
        <v>No</v>
      </c>
      <c r="AF165" s="6" t="str">
        <f t="shared" si="49"/>
        <v>Yes</v>
      </c>
      <c r="AH165" s="17"/>
      <c r="AI165" s="6" t="s">
        <v>525</v>
      </c>
      <c r="AK165" s="6" t="s">
        <v>525</v>
      </c>
      <c r="AM165" s="6" t="s">
        <v>525</v>
      </c>
    </row>
    <row r="166" spans="1:39" x14ac:dyDescent="0.45">
      <c r="A166" s="1" t="s">
        <v>495</v>
      </c>
      <c r="B166" s="1" t="s">
        <v>496</v>
      </c>
      <c r="C166" s="12">
        <v>38440</v>
      </c>
      <c r="D166" s="12">
        <f t="shared" si="36"/>
        <v>39354.18</v>
      </c>
      <c r="E166" s="1">
        <v>7</v>
      </c>
      <c r="F166" s="2">
        <v>0.15</v>
      </c>
      <c r="G166" s="2">
        <v>0.3</v>
      </c>
      <c r="H166" s="2">
        <v>0.4</v>
      </c>
      <c r="J166" s="4"/>
      <c r="K166" s="4"/>
      <c r="L166" s="4">
        <v>39354.18</v>
      </c>
      <c r="M166" s="4"/>
      <c r="O166" s="14">
        <f t="shared" si="37"/>
        <v>914.18000000000029</v>
      </c>
      <c r="P166" s="15">
        <f t="shared" si="38"/>
        <v>2.3781997918834556E-2</v>
      </c>
      <c r="R166" s="12">
        <f t="shared" si="39"/>
        <v>39354.18</v>
      </c>
      <c r="S166" s="12">
        <f t="shared" si="40"/>
        <v>5903.1269999999995</v>
      </c>
      <c r="T166" s="12">
        <f t="shared" si="41"/>
        <v>11806.253999999999</v>
      </c>
      <c r="U166" s="12">
        <f t="shared" si="42"/>
        <v>15741.672</v>
      </c>
      <c r="V166" s="17"/>
      <c r="W166" s="6" t="str">
        <f t="shared" si="43"/>
        <v>No</v>
      </c>
      <c r="X166" s="6" t="str">
        <f t="shared" si="44"/>
        <v>Yes</v>
      </c>
      <c r="AA166" s="6" t="str">
        <f t="shared" si="45"/>
        <v>No</v>
      </c>
      <c r="AB166" s="6" t="str">
        <f t="shared" si="46"/>
        <v>Yes</v>
      </c>
      <c r="AE166" s="6" t="str">
        <f t="shared" si="48"/>
        <v>No</v>
      </c>
      <c r="AF166" s="6" t="str">
        <f t="shared" si="49"/>
        <v>Yes</v>
      </c>
      <c r="AH166" s="17"/>
      <c r="AI166" s="6" t="s">
        <v>525</v>
      </c>
      <c r="AK166" s="6" t="s">
        <v>525</v>
      </c>
      <c r="AM166" s="6" t="s">
        <v>525</v>
      </c>
    </row>
    <row r="167" spans="1:39" x14ac:dyDescent="0.45">
      <c r="A167" s="1" t="s">
        <v>498</v>
      </c>
      <c r="B167" s="1" t="s">
        <v>499</v>
      </c>
      <c r="C167" s="12">
        <v>23558</v>
      </c>
      <c r="D167" s="12">
        <f t="shared" si="36"/>
        <v>23585.11</v>
      </c>
      <c r="E167" s="1">
        <v>7</v>
      </c>
      <c r="F167" s="2">
        <v>0.15</v>
      </c>
      <c r="G167" s="2">
        <v>0.3</v>
      </c>
      <c r="H167" s="2">
        <v>0.4</v>
      </c>
      <c r="J167" s="4"/>
      <c r="K167" s="4"/>
      <c r="L167" s="4">
        <v>23585.11</v>
      </c>
      <c r="M167" s="4"/>
      <c r="O167" s="14">
        <f t="shared" si="37"/>
        <v>27.110000000000582</v>
      </c>
      <c r="P167" s="15">
        <f t="shared" si="38"/>
        <v>1.1507768061805154E-3</v>
      </c>
      <c r="R167" s="12">
        <f t="shared" si="39"/>
        <v>23585.11</v>
      </c>
      <c r="S167" s="12">
        <f t="shared" si="40"/>
        <v>3537.7665000000002</v>
      </c>
      <c r="T167" s="12">
        <f t="shared" si="41"/>
        <v>7075.5330000000004</v>
      </c>
      <c r="U167" s="12">
        <f t="shared" si="42"/>
        <v>9434.0439999999999</v>
      </c>
      <c r="V167" s="17"/>
      <c r="W167" s="6" t="str">
        <f t="shared" si="43"/>
        <v>No</v>
      </c>
      <c r="X167" s="6" t="str">
        <f t="shared" si="44"/>
        <v>Yes</v>
      </c>
      <c r="AA167" s="6" t="str">
        <f t="shared" si="45"/>
        <v>No</v>
      </c>
      <c r="AB167" s="6" t="str">
        <f t="shared" si="46"/>
        <v>Yes</v>
      </c>
      <c r="AE167" s="6" t="str">
        <f t="shared" si="48"/>
        <v>No</v>
      </c>
      <c r="AF167" s="6" t="str">
        <f t="shared" si="49"/>
        <v>Yes</v>
      </c>
      <c r="AH167" s="17"/>
      <c r="AI167" s="6" t="s">
        <v>525</v>
      </c>
      <c r="AK167" s="6" t="s">
        <v>525</v>
      </c>
      <c r="AM167" s="6" t="s">
        <v>525</v>
      </c>
    </row>
    <row r="168" spans="1:39" x14ac:dyDescent="0.45">
      <c r="A168" s="1" t="s">
        <v>501</v>
      </c>
      <c r="B168" s="1" t="s">
        <v>502</v>
      </c>
      <c r="C168" s="12">
        <v>56234</v>
      </c>
      <c r="D168" s="12">
        <f t="shared" si="36"/>
        <v>56497.62</v>
      </c>
      <c r="E168" s="1">
        <v>7</v>
      </c>
      <c r="F168" s="2">
        <v>0.1</v>
      </c>
      <c r="G168" s="2">
        <v>0.2</v>
      </c>
      <c r="H168" s="2">
        <v>0.3</v>
      </c>
      <c r="J168" s="4"/>
      <c r="K168" s="4"/>
      <c r="L168" s="4"/>
      <c r="M168" s="4">
        <v>56497.62</v>
      </c>
      <c r="O168" s="14">
        <f t="shared" si="37"/>
        <v>263.62000000000262</v>
      </c>
      <c r="P168" s="15">
        <f t="shared" si="38"/>
        <v>4.6879112280827015E-3</v>
      </c>
      <c r="R168" s="12">
        <f t="shared" si="39"/>
        <v>56497.62</v>
      </c>
      <c r="S168" s="12">
        <f t="shared" si="40"/>
        <v>5649.7620000000006</v>
      </c>
      <c r="T168" s="12">
        <f t="shared" si="41"/>
        <v>11299.524000000001</v>
      </c>
      <c r="U168" s="12">
        <f t="shared" si="42"/>
        <v>16949.286</v>
      </c>
      <c r="V168" s="17"/>
      <c r="W168" s="6" t="str">
        <f t="shared" si="43"/>
        <v>No</v>
      </c>
      <c r="X168" s="6" t="str">
        <f t="shared" si="44"/>
        <v>No</v>
      </c>
      <c r="Y168" s="6" t="s">
        <v>538</v>
      </c>
      <c r="AA168" s="6" t="str">
        <f t="shared" si="45"/>
        <v>No</v>
      </c>
      <c r="AB168" s="6" t="str">
        <f t="shared" si="46"/>
        <v>No</v>
      </c>
      <c r="AC168" s="6" t="str">
        <f t="shared" si="47"/>
        <v>Yes</v>
      </c>
      <c r="AE168" s="6" t="str">
        <f t="shared" si="48"/>
        <v>No</v>
      </c>
      <c r="AF168" s="6" t="str">
        <f t="shared" si="49"/>
        <v>No</v>
      </c>
      <c r="AG168" s="6" t="str">
        <f t="shared" si="50"/>
        <v>Yes</v>
      </c>
      <c r="AH168" s="17"/>
      <c r="AI168" s="6" t="s">
        <v>526</v>
      </c>
      <c r="AK168" s="6" t="s">
        <v>526</v>
      </c>
      <c r="AM168" s="6" t="s">
        <v>526</v>
      </c>
    </row>
    <row r="169" spans="1:39" x14ac:dyDescent="0.45">
      <c r="A169" s="1" t="s">
        <v>504</v>
      </c>
      <c r="B169" s="1" t="s">
        <v>505</v>
      </c>
      <c r="C169" s="12">
        <v>94607</v>
      </c>
      <c r="D169" s="12">
        <f t="shared" si="36"/>
        <v>97082.62</v>
      </c>
      <c r="E169" s="1">
        <v>7</v>
      </c>
      <c r="F169" s="2">
        <v>0.3</v>
      </c>
      <c r="G169" s="2">
        <v>0.5</v>
      </c>
      <c r="H169" s="2">
        <v>0.7</v>
      </c>
      <c r="J169" s="4"/>
      <c r="K169" s="4">
        <v>79120.259999999995</v>
      </c>
      <c r="L169" s="4">
        <v>17962.36</v>
      </c>
      <c r="M169" s="4"/>
      <c r="O169" s="14">
        <f t="shared" si="37"/>
        <v>2475.6199999999953</v>
      </c>
      <c r="P169" s="15">
        <f t="shared" si="38"/>
        <v>2.616740833130736E-2</v>
      </c>
      <c r="R169" s="12">
        <f t="shared" si="39"/>
        <v>97082.62</v>
      </c>
      <c r="S169" s="12">
        <f t="shared" si="40"/>
        <v>29124.785999999996</v>
      </c>
      <c r="T169" s="12">
        <f t="shared" si="41"/>
        <v>48541.31</v>
      </c>
      <c r="U169" s="12">
        <f t="shared" si="42"/>
        <v>67957.833999999988</v>
      </c>
      <c r="V169" s="17"/>
      <c r="W169" s="6" t="str">
        <f t="shared" si="43"/>
        <v>Yes</v>
      </c>
      <c r="AA169" s="6" t="str">
        <f t="shared" si="45"/>
        <v>Yes</v>
      </c>
      <c r="AE169" s="6" t="str">
        <f t="shared" si="48"/>
        <v>Yes</v>
      </c>
      <c r="AH169" s="17"/>
      <c r="AI169" s="6" t="s">
        <v>540</v>
      </c>
      <c r="AK169" s="6" t="s">
        <v>540</v>
      </c>
      <c r="AM169" s="6" t="s">
        <v>540</v>
      </c>
    </row>
    <row r="170" spans="1:39" x14ac:dyDescent="0.45">
      <c r="A170" s="1" t="s">
        <v>507</v>
      </c>
      <c r="B170" s="1" t="s">
        <v>508</v>
      </c>
      <c r="C170" s="12">
        <v>37646</v>
      </c>
      <c r="D170" s="12">
        <f t="shared" si="36"/>
        <v>37569.06</v>
      </c>
      <c r="E170" s="1">
        <v>7</v>
      </c>
      <c r="F170" s="2">
        <v>0.05</v>
      </c>
      <c r="G170" s="2">
        <v>0.1</v>
      </c>
      <c r="H170" s="2">
        <v>0.2</v>
      </c>
      <c r="J170" s="4"/>
      <c r="K170" s="4"/>
      <c r="L170" s="4">
        <v>37569.06</v>
      </c>
      <c r="M170" s="4"/>
      <c r="O170" s="14">
        <f t="shared" si="37"/>
        <v>-76.940000000002328</v>
      </c>
      <c r="P170" s="15">
        <f t="shared" si="38"/>
        <v>-2.0437762312065645E-3</v>
      </c>
      <c r="R170" s="12">
        <f t="shared" si="39"/>
        <v>37569.06</v>
      </c>
      <c r="S170" s="12">
        <f t="shared" si="40"/>
        <v>1878.453</v>
      </c>
      <c r="T170" s="12">
        <f t="shared" si="41"/>
        <v>3756.9059999999999</v>
      </c>
      <c r="U170" s="12">
        <f t="shared" si="42"/>
        <v>7513.8119999999999</v>
      </c>
      <c r="V170" s="17"/>
      <c r="W170" s="6" t="str">
        <f t="shared" si="43"/>
        <v>No</v>
      </c>
      <c r="X170" s="6" t="str">
        <f t="shared" si="44"/>
        <v>Yes</v>
      </c>
      <c r="AA170" s="6" t="str">
        <f t="shared" si="45"/>
        <v>No</v>
      </c>
      <c r="AB170" s="6" t="str">
        <f t="shared" si="46"/>
        <v>Yes</v>
      </c>
      <c r="AE170" s="6" t="str">
        <f t="shared" si="48"/>
        <v>No</v>
      </c>
      <c r="AF170" s="6" t="str">
        <f t="shared" si="49"/>
        <v>Yes</v>
      </c>
      <c r="AH170" s="17"/>
      <c r="AI170" s="6" t="s">
        <v>525</v>
      </c>
      <c r="AK170" s="6" t="s">
        <v>525</v>
      </c>
      <c r="AM170" s="6" t="s">
        <v>525</v>
      </c>
    </row>
    <row r="171" spans="1:39" x14ac:dyDescent="0.45">
      <c r="A171" s="1" t="s">
        <v>510</v>
      </c>
      <c r="B171" s="1" t="s">
        <v>511</v>
      </c>
      <c r="C171" s="12">
        <v>68387</v>
      </c>
      <c r="D171" s="12">
        <f t="shared" si="36"/>
        <v>65881</v>
      </c>
      <c r="E171" s="1">
        <v>7</v>
      </c>
      <c r="F171" s="2">
        <v>0.15</v>
      </c>
      <c r="G171" s="2">
        <v>0.3</v>
      </c>
      <c r="H171" s="2">
        <v>0.4</v>
      </c>
      <c r="J171" s="4"/>
      <c r="K171" s="4"/>
      <c r="L171" s="4">
        <v>65881</v>
      </c>
      <c r="M171" s="4"/>
      <c r="O171" s="14">
        <f t="shared" si="37"/>
        <v>-2506</v>
      </c>
      <c r="P171" s="15">
        <f t="shared" si="38"/>
        <v>-3.6644391477912472E-2</v>
      </c>
      <c r="R171" s="12">
        <f t="shared" si="39"/>
        <v>65881</v>
      </c>
      <c r="S171" s="12">
        <f t="shared" si="40"/>
        <v>9882.15</v>
      </c>
      <c r="T171" s="12">
        <f t="shared" si="41"/>
        <v>19764.3</v>
      </c>
      <c r="U171" s="12">
        <f t="shared" si="42"/>
        <v>26352.400000000001</v>
      </c>
      <c r="V171" s="17"/>
      <c r="W171" s="6" t="str">
        <f t="shared" si="43"/>
        <v>No</v>
      </c>
      <c r="X171" s="6" t="str">
        <f t="shared" si="44"/>
        <v>Yes</v>
      </c>
      <c r="AA171" s="6" t="str">
        <f t="shared" si="45"/>
        <v>No</v>
      </c>
      <c r="AB171" s="6" t="str">
        <f t="shared" si="46"/>
        <v>Yes</v>
      </c>
      <c r="AE171" s="6" t="str">
        <f t="shared" si="48"/>
        <v>No</v>
      </c>
      <c r="AF171" s="6" t="str">
        <f t="shared" si="49"/>
        <v>Yes</v>
      </c>
      <c r="AH171" s="17"/>
      <c r="AI171" s="6" t="s">
        <v>525</v>
      </c>
      <c r="AK171" s="6" t="s">
        <v>525</v>
      </c>
      <c r="AM171" s="6" t="s">
        <v>525</v>
      </c>
    </row>
    <row r="172" spans="1:39" x14ac:dyDescent="0.45">
      <c r="A172" s="1" t="s">
        <v>513</v>
      </c>
      <c r="B172" s="1" t="s">
        <v>514</v>
      </c>
      <c r="C172" s="12">
        <v>35928</v>
      </c>
      <c r="D172" s="12">
        <f t="shared" si="36"/>
        <v>40045.33</v>
      </c>
      <c r="E172" s="1">
        <v>7</v>
      </c>
      <c r="F172" s="2">
        <v>0.25</v>
      </c>
      <c r="G172" s="2">
        <v>0.4</v>
      </c>
      <c r="H172" s="2">
        <v>0.6</v>
      </c>
      <c r="J172" s="4"/>
      <c r="K172" s="4"/>
      <c r="L172" s="4"/>
      <c r="M172" s="4">
        <v>40045.33</v>
      </c>
      <c r="O172" s="14">
        <f t="shared" si="37"/>
        <v>4117.3300000000017</v>
      </c>
      <c r="P172" s="15">
        <f t="shared" si="38"/>
        <v>0.11459947673124031</v>
      </c>
      <c r="R172" s="12">
        <f t="shared" si="39"/>
        <v>40045.33</v>
      </c>
      <c r="S172" s="12">
        <f t="shared" si="40"/>
        <v>10011.3325</v>
      </c>
      <c r="T172" s="12">
        <f t="shared" si="41"/>
        <v>16018.132000000001</v>
      </c>
      <c r="U172" s="12">
        <f t="shared" si="42"/>
        <v>24027.198</v>
      </c>
      <c r="V172" s="17"/>
      <c r="W172" s="6" t="str">
        <f t="shared" si="43"/>
        <v>No</v>
      </c>
      <c r="X172" s="6" t="str">
        <f t="shared" si="44"/>
        <v>No</v>
      </c>
      <c r="Y172" s="6" t="s">
        <v>538</v>
      </c>
      <c r="AA172" s="6" t="str">
        <f t="shared" si="45"/>
        <v>No</v>
      </c>
      <c r="AB172" s="6" t="str">
        <f t="shared" si="46"/>
        <v>No</v>
      </c>
      <c r="AC172" s="6" t="str">
        <f t="shared" si="47"/>
        <v>Yes</v>
      </c>
      <c r="AE172" s="6" t="str">
        <f t="shared" si="48"/>
        <v>No</v>
      </c>
      <c r="AF172" s="6" t="str">
        <f t="shared" si="49"/>
        <v>No</v>
      </c>
      <c r="AG172" s="6" t="str">
        <f t="shared" si="50"/>
        <v>Yes</v>
      </c>
      <c r="AH172" s="17"/>
      <c r="AI172" s="6" t="s">
        <v>526</v>
      </c>
      <c r="AK172" s="6" t="s">
        <v>526</v>
      </c>
      <c r="AM172" s="6" t="s">
        <v>526</v>
      </c>
    </row>
    <row r="173" spans="1:39" x14ac:dyDescent="0.45">
      <c r="A173" s="1" t="s">
        <v>516</v>
      </c>
      <c r="B173" s="1" t="s">
        <v>517</v>
      </c>
      <c r="C173" s="12">
        <v>35975</v>
      </c>
      <c r="D173" s="12">
        <f t="shared" si="36"/>
        <v>36839.97</v>
      </c>
      <c r="E173" s="1">
        <v>7</v>
      </c>
      <c r="F173" s="2">
        <v>0.05</v>
      </c>
      <c r="G173" s="2">
        <v>0.15</v>
      </c>
      <c r="H173" s="2">
        <v>0.25</v>
      </c>
      <c r="J173" s="4"/>
      <c r="K173" s="4"/>
      <c r="L173" s="4"/>
      <c r="M173" s="4">
        <v>36839.97</v>
      </c>
      <c r="O173" s="14">
        <f t="shared" si="37"/>
        <v>864.97000000000116</v>
      </c>
      <c r="P173" s="15">
        <f t="shared" si="38"/>
        <v>2.4043641417651179E-2</v>
      </c>
      <c r="R173" s="12">
        <f t="shared" si="39"/>
        <v>36839.97</v>
      </c>
      <c r="S173" s="12">
        <f t="shared" si="40"/>
        <v>1841.9985000000001</v>
      </c>
      <c r="T173" s="12">
        <f t="shared" si="41"/>
        <v>5525.9955</v>
      </c>
      <c r="U173" s="12">
        <f t="shared" si="42"/>
        <v>9209.9925000000003</v>
      </c>
      <c r="V173" s="17"/>
      <c r="W173" s="6" t="str">
        <f t="shared" si="43"/>
        <v>No</v>
      </c>
      <c r="X173" s="6" t="str">
        <f t="shared" si="44"/>
        <v>No</v>
      </c>
      <c r="Y173" s="6" t="s">
        <v>538</v>
      </c>
      <c r="AA173" s="6" t="str">
        <f t="shared" si="45"/>
        <v>No</v>
      </c>
      <c r="AB173" s="6" t="str">
        <f t="shared" si="46"/>
        <v>No</v>
      </c>
      <c r="AC173" s="6" t="str">
        <f t="shared" si="47"/>
        <v>Yes</v>
      </c>
      <c r="AE173" s="6" t="str">
        <f t="shared" si="48"/>
        <v>No</v>
      </c>
      <c r="AF173" s="6" t="str">
        <f t="shared" si="49"/>
        <v>No</v>
      </c>
      <c r="AG173" s="6" t="str">
        <f t="shared" si="50"/>
        <v>Yes</v>
      </c>
      <c r="AH173" s="17"/>
      <c r="AI173" s="6" t="s">
        <v>526</v>
      </c>
      <c r="AK173" s="6" t="s">
        <v>526</v>
      </c>
      <c r="AM173" s="6" t="s">
        <v>526</v>
      </c>
    </row>
    <row r="174" spans="1:39" x14ac:dyDescent="0.45">
      <c r="A174" s="1" t="s">
        <v>519</v>
      </c>
      <c r="B174" s="1" t="s">
        <v>522</v>
      </c>
      <c r="C174" s="12">
        <v>41668</v>
      </c>
      <c r="D174" s="12">
        <f t="shared" si="36"/>
        <v>40965.050000000003</v>
      </c>
      <c r="E174" s="1">
        <v>7</v>
      </c>
      <c r="F174" s="2">
        <v>0.2</v>
      </c>
      <c r="G174" s="2">
        <v>0.35</v>
      </c>
      <c r="H174" s="2">
        <v>0.5</v>
      </c>
      <c r="J174" s="4"/>
      <c r="K174" s="4"/>
      <c r="L174" s="4"/>
      <c r="M174" s="4">
        <v>40965.050000000003</v>
      </c>
      <c r="O174" s="14">
        <f t="shared" si="37"/>
        <v>-702.94999999999709</v>
      </c>
      <c r="P174" s="15">
        <f t="shared" si="38"/>
        <v>-1.6870260151675077E-2</v>
      </c>
      <c r="R174" s="12">
        <f t="shared" si="39"/>
        <v>40965.050000000003</v>
      </c>
      <c r="S174" s="12">
        <f t="shared" si="40"/>
        <v>8193.01</v>
      </c>
      <c r="T174" s="12">
        <f t="shared" si="41"/>
        <v>14337.7675</v>
      </c>
      <c r="U174" s="12">
        <f t="shared" si="42"/>
        <v>20482.525000000001</v>
      </c>
      <c r="V174" s="17"/>
      <c r="W174" s="6" t="str">
        <f t="shared" si="43"/>
        <v>No</v>
      </c>
      <c r="X174" s="6" t="str">
        <f t="shared" si="44"/>
        <v>No</v>
      </c>
      <c r="Y174" s="6" t="s">
        <v>538</v>
      </c>
      <c r="AA174" s="6" t="str">
        <f t="shared" si="45"/>
        <v>No</v>
      </c>
      <c r="AB174" s="6" t="str">
        <f t="shared" si="46"/>
        <v>No</v>
      </c>
      <c r="AC174" s="6" t="str">
        <f t="shared" si="47"/>
        <v>Yes</v>
      </c>
      <c r="AE174" s="6" t="str">
        <f t="shared" si="48"/>
        <v>No</v>
      </c>
      <c r="AF174" s="6" t="str">
        <f t="shared" si="49"/>
        <v>No</v>
      </c>
      <c r="AG174" s="6" t="str">
        <f t="shared" si="50"/>
        <v>Yes</v>
      </c>
      <c r="AH174" s="17"/>
      <c r="AI174" s="6" t="s">
        <v>526</v>
      </c>
      <c r="AK174" s="6" t="s">
        <v>526</v>
      </c>
      <c r="AM174" s="6" t="s">
        <v>526</v>
      </c>
    </row>
  </sheetData>
  <autoFilter ref="AO1:AO176" xr:uid="{AF263CF5-A651-4D1C-B024-4B870B590862}"/>
  <sortState xmlns:xlrd2="http://schemas.microsoft.com/office/spreadsheetml/2017/richdata2" ref="A4:H174">
    <sortCondition ref="A3:A174"/>
  </sortState>
  <mergeCells count="32">
    <mergeCell ref="E1:E2"/>
    <mergeCell ref="A1:A2"/>
    <mergeCell ref="B1:B2"/>
    <mergeCell ref="T1:T2"/>
    <mergeCell ref="S1:S2"/>
    <mergeCell ref="H1:H2"/>
    <mergeCell ref="G1:G2"/>
    <mergeCell ref="F1:F2"/>
    <mergeCell ref="AG1:AG2"/>
    <mergeCell ref="C1:C2"/>
    <mergeCell ref="D1:D2"/>
    <mergeCell ref="R1:R2"/>
    <mergeCell ref="Y1:Y2"/>
    <mergeCell ref="AA1:AA2"/>
    <mergeCell ref="AB1:AB2"/>
    <mergeCell ref="AC1:AC2"/>
    <mergeCell ref="AE1:AE2"/>
    <mergeCell ref="AF1:AF2"/>
    <mergeCell ref="O1:O2"/>
    <mergeCell ref="P1:P2"/>
    <mergeCell ref="W1:W2"/>
    <mergeCell ref="X1:X2"/>
    <mergeCell ref="J1:M1"/>
    <mergeCell ref="U1:U2"/>
    <mergeCell ref="AR1:AR2"/>
    <mergeCell ref="AS1:AS2"/>
    <mergeCell ref="AI1:AI2"/>
    <mergeCell ref="AK1:AK2"/>
    <mergeCell ref="AM1:AM2"/>
    <mergeCell ref="AP1:AP2"/>
    <mergeCell ref="AQ1:AQ2"/>
    <mergeCell ref="AO1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- Cost Weight</vt:lpstr>
      <vt:lpstr>3800 DRs</vt:lpstr>
      <vt:lpstr>DR Threshold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McNally</dc:creator>
  <cp:lastModifiedBy>sara jalili</cp:lastModifiedBy>
  <dcterms:created xsi:type="dcterms:W3CDTF">2025-01-29T15:43:18Z</dcterms:created>
  <dcterms:modified xsi:type="dcterms:W3CDTF">2025-11-23T22:00:37Z</dcterms:modified>
</cp:coreProperties>
</file>