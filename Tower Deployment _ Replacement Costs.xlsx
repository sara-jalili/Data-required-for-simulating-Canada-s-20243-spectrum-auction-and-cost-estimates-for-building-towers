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CC Widelity Costs Plus CAD Con" sheetId="1" r:id="rId4"/>
    <sheet state="visible" name="Cost Models" sheetId="2" r:id="rId5"/>
  </sheets>
  <definedNames/>
  <calcPr/>
</workbook>
</file>

<file path=xl/sharedStrings.xml><?xml version="1.0" encoding="utf-8"?>
<sst xmlns="http://schemas.openxmlformats.org/spreadsheetml/2006/main" count="93" uniqueCount="34">
  <si>
    <t>FCC/Widelity Costs</t>
  </si>
  <si>
    <t>Widelity Costs</t>
  </si>
  <si>
    <t>Cost Type (New/Existing/Both)</t>
  </si>
  <si>
    <t>Canadian Costs (x1.5</t>
  </si>
  <si>
    <t>Miles to KM conversion (for FTTP)</t>
  </si>
  <si>
    <t>Item</t>
  </si>
  <si>
    <t>Cost (Low)</t>
  </si>
  <si>
    <t>Cost (High)</t>
  </si>
  <si>
    <t>Fibre to the Premises (FTTP - per mile, trenched &amp; buried, rural, flat, rocky</t>
  </si>
  <si>
    <t>New</t>
  </si>
  <si>
    <t>Macrocell 5G Sub6 100Hz (Radio)</t>
  </si>
  <si>
    <t>Both</t>
  </si>
  <si>
    <t>Structural Engineering - Tower/Mount Mapping</t>
  </si>
  <si>
    <t>"Rip and Replace" - Up to 12 new radios; 6 new antenna with associated plubming</t>
  </si>
  <si>
    <t>Existing</t>
  </si>
  <si>
    <t>Antenna Install (with material)</t>
  </si>
  <si>
    <t>Tower Costs</t>
  </si>
  <si>
    <t>Minor reinforcement</t>
  </si>
  <si>
    <t>Build New &lt;200' Monopole (Building)</t>
  </si>
  <si>
    <t>Build New &lt;200' Monopole (Materials)</t>
  </si>
  <si>
    <t>Build New &lt;300' SST (Building)</t>
  </si>
  <si>
    <t>Build New &lt;300' SST (Materials)</t>
  </si>
  <si>
    <t>New Tower Shelter</t>
  </si>
  <si>
    <t>New Power Trunk</t>
  </si>
  <si>
    <t>New Fibre Trunk</t>
  </si>
  <si>
    <t>Canadian Metric Costs (x1.5</t>
  </si>
  <si>
    <t>New Tower Costs</t>
  </si>
  <si>
    <t>Sub total w/o Tower</t>
  </si>
  <si>
    <t>Total w/ Monopole Tower</t>
  </si>
  <si>
    <t>Total w/ SST Tower</t>
  </si>
  <si>
    <t xml:space="preserve">Plus each KM of Fibre at </t>
  </si>
  <si>
    <t>Existing Tower Costs</t>
  </si>
  <si>
    <t>"Rip and Replace" - Up to 12 new radios; 6 new antenna with associated plumbing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</si>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</sst>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b/>
      <u/>
      <color theme="1"/>
      <name val="Arial"/>
      <scheme val="minor"/>
    </font>
    <font>
      <color theme="1"/>
      <name val="Arial"/>
      <scheme val="minor"/>
    </font>
    <font>
      <b/>
      <u/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999999"/>
        <bgColor rgb="FF999999"/>
      </patternFill>
    </fill>
    <fill>
      <patternFill patternType="solid">
        <fgColor rgb="FF666666"/>
        <bgColor rgb="FF666666"/>
      </patternFill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2" fontId="3" numFmtId="0" xfId="0" applyFill="1" applyFont="1"/>
    <xf borderId="0" fillId="0" fontId="1" numFmtId="0" xfId="0" applyAlignment="1" applyFont="1">
      <alignment horizontal="center" readingOrder="0" shrinkToFit="0" wrapText="1"/>
    </xf>
    <xf borderId="0" fillId="3" fontId="3" numFmtId="0" xfId="0" applyFill="1" applyFont="1"/>
    <xf borderId="0" fillId="0" fontId="4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3" numFmtId="0" xfId="0" applyFont="1"/>
    <xf borderId="0" fillId="0" fontId="3" numFmtId="164" xfId="0" applyFont="1" applyNumberFormat="1"/>
    <xf borderId="0" fillId="4" fontId="1" numFmtId="0" xfId="0" applyAlignment="1" applyFill="1" applyFont="1">
      <alignment readingOrder="0"/>
    </xf>
    <xf borderId="0" fillId="0" fontId="1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63"/>
    <col customWidth="1" min="2" max="2" width="60.25"/>
    <col customWidth="1" min="5" max="5" width="2.63"/>
    <col customWidth="1" min="6" max="6" width="16.38"/>
    <col customWidth="1" min="7" max="7" width="2.75"/>
    <col customWidth="1" min="10" max="10" width="3.25"/>
  </cols>
  <sheetData>
    <row r="2">
      <c r="A2" s="1" t="s">
        <v>0</v>
      </c>
    </row>
    <row r="3">
      <c r="C3" s="2" t="s">
        <v>1</v>
      </c>
      <c r="E3" s="3"/>
      <c r="F3" s="4" t="s">
        <v>2</v>
      </c>
      <c r="G3" s="5"/>
      <c r="H3" s="2" t="s">
        <v>3</v>
      </c>
      <c r="J3" s="3"/>
      <c r="K3" s="6" t="s">
        <v>4</v>
      </c>
    </row>
    <row r="4">
      <c r="B4" s="6" t="s">
        <v>5</v>
      </c>
      <c r="C4" s="2" t="s">
        <v>6</v>
      </c>
      <c r="D4" s="2" t="s">
        <v>7</v>
      </c>
      <c r="E4" s="3"/>
      <c r="G4" s="5"/>
      <c r="H4" s="2" t="s">
        <v>6</v>
      </c>
      <c r="I4" s="2" t="s">
        <v>7</v>
      </c>
      <c r="J4" s="3"/>
      <c r="K4" s="2" t="s">
        <v>6</v>
      </c>
      <c r="L4" s="2" t="s">
        <v>7</v>
      </c>
    </row>
    <row r="5">
      <c r="B5" s="7" t="s">
        <v>8</v>
      </c>
      <c r="C5" s="7">
        <v>22500.0</v>
      </c>
      <c r="D5" s="7">
        <v>61116.0</v>
      </c>
      <c r="E5" s="3"/>
      <c r="F5" s="7" t="s">
        <v>9</v>
      </c>
      <c r="G5" s="5"/>
      <c r="H5" s="8">
        <f t="shared" ref="H5:I5" si="1">C5*1.5</f>
        <v>33750</v>
      </c>
      <c r="I5" s="8">
        <f t="shared" si="1"/>
        <v>91674</v>
      </c>
      <c r="J5" s="3"/>
      <c r="K5" s="8">
        <f t="shared" ref="K5:L5" si="2">H5*1.60934</f>
        <v>54315.225</v>
      </c>
      <c r="L5" s="8">
        <f t="shared" si="2"/>
        <v>147534.6352</v>
      </c>
    </row>
    <row r="6">
      <c r="B6" s="7" t="s">
        <v>10</v>
      </c>
      <c r="C6" s="7">
        <v>91000.0</v>
      </c>
      <c r="D6" s="7">
        <v>125000.0</v>
      </c>
      <c r="E6" s="3"/>
      <c r="F6" s="7" t="s">
        <v>11</v>
      </c>
      <c r="G6" s="5"/>
      <c r="H6" s="8">
        <f t="shared" ref="H6:I6" si="3">C6*1.5</f>
        <v>136500</v>
      </c>
      <c r="I6" s="8">
        <f t="shared" si="3"/>
        <v>187500</v>
      </c>
      <c r="J6" s="3"/>
    </row>
    <row r="7">
      <c r="B7" s="7" t="s">
        <v>12</v>
      </c>
      <c r="C7" s="7">
        <v>11084.03</v>
      </c>
      <c r="D7" s="7">
        <v>13720.86</v>
      </c>
      <c r="E7" s="3"/>
      <c r="F7" s="7" t="s">
        <v>11</v>
      </c>
      <c r="G7" s="5"/>
      <c r="H7" s="8">
        <f t="shared" ref="H7:I7" si="4">C7*1.5</f>
        <v>16626.045</v>
      </c>
      <c r="I7" s="8">
        <f t="shared" si="4"/>
        <v>20581.29</v>
      </c>
      <c r="J7" s="3"/>
    </row>
    <row r="8">
      <c r="B8" s="7" t="s">
        <v>13</v>
      </c>
      <c r="C8" s="7">
        <v>29212.94</v>
      </c>
      <c r="D8" s="7">
        <v>49602.02</v>
      </c>
      <c r="E8" s="3"/>
      <c r="F8" s="7" t="s">
        <v>14</v>
      </c>
      <c r="G8" s="5"/>
      <c r="H8" s="8">
        <f t="shared" ref="H8:I8" si="5">C8*1.5</f>
        <v>43819.41</v>
      </c>
      <c r="I8" s="8">
        <f t="shared" si="5"/>
        <v>74403.03</v>
      </c>
      <c r="J8" s="3"/>
    </row>
    <row r="9">
      <c r="B9" s="7" t="s">
        <v>15</v>
      </c>
      <c r="C9" s="7">
        <v>5650.0</v>
      </c>
      <c r="D9" s="7">
        <v>6850.0</v>
      </c>
      <c r="E9" s="3"/>
      <c r="F9" s="7" t="s">
        <v>9</v>
      </c>
      <c r="G9" s="5"/>
      <c r="H9" s="8">
        <f t="shared" ref="H9:I9" si="6">C9*1.5</f>
        <v>8475</v>
      </c>
      <c r="I9" s="8">
        <f t="shared" si="6"/>
        <v>10275</v>
      </c>
      <c r="J9" s="3"/>
    </row>
    <row r="10">
      <c r="B10" s="6" t="s">
        <v>16</v>
      </c>
      <c r="E10" s="3"/>
      <c r="G10" s="5"/>
      <c r="J10" s="3"/>
    </row>
    <row r="11">
      <c r="B11" s="7" t="s">
        <v>17</v>
      </c>
      <c r="C11" s="7">
        <v>1000.0</v>
      </c>
      <c r="D11" s="7">
        <v>10000.0</v>
      </c>
      <c r="E11" s="3"/>
      <c r="F11" s="7" t="s">
        <v>14</v>
      </c>
      <c r="G11" s="5"/>
      <c r="H11" s="8">
        <f t="shared" ref="H11:I11" si="7">C11*1.5</f>
        <v>1500</v>
      </c>
      <c r="I11" s="8">
        <f t="shared" si="7"/>
        <v>15000</v>
      </c>
      <c r="J11" s="3"/>
    </row>
    <row r="12">
      <c r="B12" s="7" t="s">
        <v>18</v>
      </c>
      <c r="C12" s="7">
        <v>14154.0</v>
      </c>
      <c r="D12" s="7">
        <v>29000.0</v>
      </c>
      <c r="E12" s="3"/>
      <c r="F12" s="7" t="s">
        <v>9</v>
      </c>
      <c r="G12" s="5"/>
      <c r="H12" s="8">
        <f t="shared" ref="H12:I12" si="8">C12*1.5</f>
        <v>21231</v>
      </c>
      <c r="I12" s="8">
        <f t="shared" si="8"/>
        <v>43500</v>
      </c>
      <c r="J12" s="3"/>
    </row>
    <row r="13">
      <c r="B13" s="7" t="s">
        <v>19</v>
      </c>
      <c r="C13" s="7">
        <v>36063.0</v>
      </c>
      <c r="D13" s="7">
        <v>117651.05</v>
      </c>
      <c r="E13" s="3"/>
      <c r="F13" s="7" t="s">
        <v>9</v>
      </c>
      <c r="G13" s="5"/>
      <c r="H13" s="8">
        <f t="shared" ref="H13:I13" si="9">C13*1.5</f>
        <v>54094.5</v>
      </c>
      <c r="I13" s="8">
        <f t="shared" si="9"/>
        <v>176476.575</v>
      </c>
      <c r="J13" s="3"/>
    </row>
    <row r="14">
      <c r="B14" s="7" t="s">
        <v>20</v>
      </c>
      <c r="C14" s="7">
        <v>16332.0</v>
      </c>
      <c r="D14" s="7">
        <v>42500.0</v>
      </c>
      <c r="E14" s="3"/>
      <c r="F14" s="7" t="s">
        <v>9</v>
      </c>
      <c r="G14" s="5"/>
      <c r="H14" s="8">
        <f t="shared" ref="H14:I14" si="10">C14*1.5</f>
        <v>24498</v>
      </c>
      <c r="I14" s="8">
        <f t="shared" si="10"/>
        <v>63750</v>
      </c>
      <c r="J14" s="3"/>
    </row>
    <row r="15">
      <c r="B15" s="7" t="s">
        <v>21</v>
      </c>
      <c r="C15" s="7">
        <v>33000.0</v>
      </c>
      <c r="D15" s="7">
        <v>93514.98</v>
      </c>
      <c r="E15" s="3"/>
      <c r="F15" s="7" t="s">
        <v>9</v>
      </c>
      <c r="G15" s="5"/>
      <c r="H15" s="8">
        <f t="shared" ref="H15:I15" si="11">C15*1.5</f>
        <v>49500</v>
      </c>
      <c r="I15" s="8">
        <f t="shared" si="11"/>
        <v>140272.47</v>
      </c>
      <c r="J15" s="3"/>
    </row>
    <row r="16">
      <c r="B16" s="7" t="s">
        <v>22</v>
      </c>
      <c r="C16" s="7">
        <v>75000.0</v>
      </c>
      <c r="D16" s="7">
        <v>85000.0</v>
      </c>
      <c r="E16" s="3"/>
      <c r="F16" s="7" t="s">
        <v>9</v>
      </c>
      <c r="G16" s="5"/>
      <c r="H16" s="8">
        <f t="shared" ref="H16:I16" si="12">C16*1.5</f>
        <v>112500</v>
      </c>
      <c r="I16" s="8">
        <f t="shared" si="12"/>
        <v>127500</v>
      </c>
      <c r="J16" s="3"/>
    </row>
    <row r="17">
      <c r="B17" s="7" t="s">
        <v>23</v>
      </c>
      <c r="C17" s="7">
        <v>3850.0</v>
      </c>
      <c r="D17" s="7">
        <v>4650.0</v>
      </c>
      <c r="E17" s="3"/>
      <c r="F17" s="7" t="s">
        <v>9</v>
      </c>
      <c r="G17" s="5"/>
      <c r="H17" s="8">
        <f t="shared" ref="H17:I17" si="13">C17*1.5</f>
        <v>5775</v>
      </c>
      <c r="I17" s="8">
        <f t="shared" si="13"/>
        <v>6975</v>
      </c>
      <c r="J17" s="3"/>
    </row>
    <row r="18">
      <c r="B18" s="7" t="s">
        <v>24</v>
      </c>
      <c r="C18" s="7">
        <v>4200.0</v>
      </c>
      <c r="D18" s="7">
        <v>5100.0</v>
      </c>
      <c r="E18" s="3"/>
      <c r="F18" s="7" t="s">
        <v>9</v>
      </c>
      <c r="G18" s="5"/>
      <c r="H18" s="8">
        <f t="shared" ref="H18:I18" si="14">C18*1.5</f>
        <v>6300</v>
      </c>
      <c r="I18" s="8">
        <f t="shared" si="14"/>
        <v>7650</v>
      </c>
      <c r="J18" s="3"/>
    </row>
  </sheetData>
  <mergeCells count="4">
    <mergeCell ref="C3:D3"/>
    <mergeCell ref="F3:F4"/>
    <mergeCell ref="H3:I3"/>
    <mergeCell ref="K3:L3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32.38"/>
    <col customWidth="1" min="5" max="5" width="2.88"/>
    <col customWidth="1" min="6" max="6" width="28.0"/>
  </cols>
  <sheetData>
    <row r="2">
      <c r="A2" s="7" t="s">
        <v>0</v>
      </c>
    </row>
    <row r="3">
      <c r="C3" s="1" t="s">
        <v>25</v>
      </c>
      <c r="F3" s="7" t="s">
        <v>2</v>
      </c>
    </row>
    <row r="4">
      <c r="B4" s="1" t="s">
        <v>5</v>
      </c>
      <c r="C4" s="6" t="s">
        <v>6</v>
      </c>
      <c r="D4" s="6" t="s">
        <v>7</v>
      </c>
    </row>
    <row r="5">
      <c r="B5" s="7" t="s">
        <v>8</v>
      </c>
      <c r="C5" s="9">
        <v>54315.225</v>
      </c>
      <c r="D5" s="9">
        <v>147534.63516</v>
      </c>
      <c r="F5" s="7" t="s">
        <v>9</v>
      </c>
    </row>
    <row r="6">
      <c r="B6" s="7" t="s">
        <v>10</v>
      </c>
      <c r="C6" s="9">
        <v>136500.0</v>
      </c>
      <c r="D6" s="9">
        <v>187500.0</v>
      </c>
      <c r="F6" s="7" t="s">
        <v>11</v>
      </c>
    </row>
    <row r="7">
      <c r="B7" s="7" t="s">
        <v>12</v>
      </c>
      <c r="C7" s="9">
        <v>16626.045000000002</v>
      </c>
      <c r="D7" s="9">
        <v>20581.29</v>
      </c>
      <c r="F7" s="7" t="s">
        <v>11</v>
      </c>
    </row>
    <row r="8">
      <c r="B8" s="7" t="s">
        <v>13</v>
      </c>
      <c r="C8" s="9">
        <v>43819.409999999996</v>
      </c>
      <c r="D8" s="9">
        <v>74403.03</v>
      </c>
      <c r="F8" s="7" t="s">
        <v>14</v>
      </c>
    </row>
    <row r="9">
      <c r="B9" s="7" t="s">
        <v>15</v>
      </c>
      <c r="C9" s="9">
        <v>8475.0</v>
      </c>
      <c r="D9" s="9">
        <v>10275.0</v>
      </c>
      <c r="F9" s="7" t="s">
        <v>9</v>
      </c>
    </row>
    <row r="10">
      <c r="B10" s="1" t="s">
        <v>16</v>
      </c>
      <c r="C10" s="9"/>
      <c r="D10" s="9"/>
    </row>
    <row r="11">
      <c r="B11" s="7" t="s">
        <v>17</v>
      </c>
      <c r="C11" s="9">
        <v>1500.0</v>
      </c>
      <c r="D11" s="9">
        <v>15000.0</v>
      </c>
      <c r="F11" s="7" t="s">
        <v>14</v>
      </c>
    </row>
    <row r="12">
      <c r="B12" s="7" t="s">
        <v>18</v>
      </c>
      <c r="C12" s="9">
        <v>21231.0</v>
      </c>
      <c r="D12" s="9">
        <v>43500.0</v>
      </c>
      <c r="F12" s="7" t="s">
        <v>9</v>
      </c>
    </row>
    <row r="13">
      <c r="B13" s="7" t="s">
        <v>19</v>
      </c>
      <c r="C13" s="9">
        <v>54094.5</v>
      </c>
      <c r="D13" s="9">
        <v>176476.575</v>
      </c>
      <c r="F13" s="7" t="s">
        <v>9</v>
      </c>
    </row>
    <row r="14">
      <c r="B14" s="7" t="s">
        <v>20</v>
      </c>
      <c r="C14" s="9">
        <v>24498.0</v>
      </c>
      <c r="D14" s="9">
        <v>63750.0</v>
      </c>
      <c r="F14" s="7" t="s">
        <v>9</v>
      </c>
    </row>
    <row r="15">
      <c r="B15" s="7" t="s">
        <v>21</v>
      </c>
      <c r="C15" s="9">
        <v>49500.0</v>
      </c>
      <c r="D15" s="9">
        <v>140272.47</v>
      </c>
      <c r="F15" s="7" t="s">
        <v>9</v>
      </c>
    </row>
    <row r="16">
      <c r="B16" s="7" t="s">
        <v>22</v>
      </c>
      <c r="C16" s="9">
        <v>112500.0</v>
      </c>
      <c r="D16" s="9">
        <v>127500.0</v>
      </c>
      <c r="F16" s="7" t="s">
        <v>9</v>
      </c>
    </row>
    <row r="17">
      <c r="B17" s="7" t="s">
        <v>23</v>
      </c>
      <c r="C17" s="9">
        <v>5775.0</v>
      </c>
      <c r="D17" s="9">
        <v>6975.0</v>
      </c>
      <c r="F17" s="7" t="s">
        <v>9</v>
      </c>
    </row>
    <row r="18">
      <c r="B18" s="7" t="s">
        <v>24</v>
      </c>
      <c r="C18" s="9">
        <v>6300.0</v>
      </c>
      <c r="D18" s="9">
        <v>7650.0</v>
      </c>
      <c r="F18" s="7" t="s">
        <v>9</v>
      </c>
    </row>
    <row r="22">
      <c r="B22" s="10" t="s">
        <v>26</v>
      </c>
    </row>
    <row r="23">
      <c r="B23" s="7" t="s">
        <v>10</v>
      </c>
      <c r="C23" s="9">
        <v>136500.0</v>
      </c>
      <c r="D23" s="9">
        <v>187500.0</v>
      </c>
    </row>
    <row r="24">
      <c r="B24" s="7" t="s">
        <v>12</v>
      </c>
      <c r="C24" s="9">
        <v>16626.045000000002</v>
      </c>
      <c r="D24" s="9">
        <v>20581.29</v>
      </c>
    </row>
    <row r="25">
      <c r="B25" s="7" t="s">
        <v>15</v>
      </c>
      <c r="C25" s="9">
        <v>8475.0</v>
      </c>
      <c r="D25" s="9">
        <v>10275.0</v>
      </c>
    </row>
    <row r="26">
      <c r="B26" s="7" t="s">
        <v>22</v>
      </c>
      <c r="C26" s="9">
        <v>112500.0</v>
      </c>
      <c r="D26" s="9">
        <v>127500.0</v>
      </c>
    </row>
    <row r="27">
      <c r="B27" s="7" t="s">
        <v>23</v>
      </c>
      <c r="C27" s="9">
        <v>5775.0</v>
      </c>
      <c r="D27" s="9">
        <v>6975.0</v>
      </c>
    </row>
    <row r="28">
      <c r="B28" s="7" t="s">
        <v>24</v>
      </c>
      <c r="C28" s="9">
        <v>6300.0</v>
      </c>
      <c r="D28" s="9">
        <v>7650.0</v>
      </c>
    </row>
    <row r="29">
      <c r="A29" s="7"/>
      <c r="B29" s="1" t="s">
        <v>27</v>
      </c>
      <c r="C29" s="11">
        <f t="shared" ref="C29:D29" si="1">sum(C23:C28)</f>
        <v>286176.045</v>
      </c>
      <c r="D29" s="11">
        <f t="shared" si="1"/>
        <v>360481.29</v>
      </c>
    </row>
    <row r="30">
      <c r="A30" s="7"/>
    </row>
    <row r="31">
      <c r="B31" s="7" t="s">
        <v>18</v>
      </c>
      <c r="C31" s="9">
        <v>21231.0</v>
      </c>
      <c r="D31" s="9">
        <v>43500.0</v>
      </c>
    </row>
    <row r="32">
      <c r="B32" s="7" t="s">
        <v>19</v>
      </c>
      <c r="C32" s="9">
        <v>54094.5</v>
      </c>
      <c r="D32" s="9">
        <v>176476.575</v>
      </c>
    </row>
    <row r="33">
      <c r="B33" s="1" t="s">
        <v>28</v>
      </c>
      <c r="C33" s="11">
        <f t="shared" ref="C33:D33" si="2">sum(C29:C32)</f>
        <v>361501.545</v>
      </c>
      <c r="D33" s="11">
        <f t="shared" si="2"/>
        <v>580457.865</v>
      </c>
    </row>
    <row r="35">
      <c r="B35" s="7" t="s">
        <v>20</v>
      </c>
      <c r="C35" s="9">
        <v>24498.0</v>
      </c>
      <c r="D35" s="9">
        <v>63750.0</v>
      </c>
    </row>
    <row r="36">
      <c r="B36" s="7" t="s">
        <v>21</v>
      </c>
      <c r="C36" s="9">
        <v>49500.0</v>
      </c>
      <c r="D36" s="9">
        <v>140272.47</v>
      </c>
    </row>
    <row r="37">
      <c r="B37" s="1" t="s">
        <v>29</v>
      </c>
      <c r="C37" s="11">
        <f t="shared" ref="C37:D37" si="3">sum(C35:C36)+C29</f>
        <v>360174.045</v>
      </c>
      <c r="D37" s="11">
        <f t="shared" si="3"/>
        <v>564503.76</v>
      </c>
    </row>
    <row r="39">
      <c r="B39" s="7" t="s">
        <v>30</v>
      </c>
      <c r="C39" s="9">
        <v>54315.225</v>
      </c>
      <c r="D39" s="9">
        <v>147534.63516</v>
      </c>
    </row>
    <row r="41">
      <c r="B41" s="10" t="s">
        <v>31</v>
      </c>
    </row>
    <row r="42">
      <c r="B42" s="7" t="s">
        <v>10</v>
      </c>
      <c r="C42" s="9">
        <v>136500.0</v>
      </c>
      <c r="D42" s="9">
        <v>187500.0</v>
      </c>
    </row>
    <row r="43">
      <c r="B43" s="7" t="s">
        <v>12</v>
      </c>
      <c r="C43" s="9">
        <v>16626.045000000002</v>
      </c>
      <c r="D43" s="9">
        <v>20581.29</v>
      </c>
    </row>
    <row r="44">
      <c r="B44" s="7" t="s">
        <v>32</v>
      </c>
      <c r="C44" s="9">
        <v>43819.409999999996</v>
      </c>
      <c r="D44" s="9">
        <v>74403.03</v>
      </c>
    </row>
    <row r="45">
      <c r="B45" s="7" t="s">
        <v>17</v>
      </c>
      <c r="C45" s="9">
        <v>1500.0</v>
      </c>
      <c r="D45" s="9">
        <v>15000.0</v>
      </c>
    </row>
    <row r="46">
      <c r="B46" s="1" t="s">
        <v>33</v>
      </c>
      <c r="C46" s="11">
        <f t="shared" ref="C46:D46" si="4">sum(C42:C45)</f>
        <v>198445.455</v>
      </c>
      <c r="D46" s="11">
        <f t="shared" si="4"/>
        <v>297484.32</v>
      </c>
    </row>
  </sheetData>
  <mergeCells count="3">
    <mergeCell ref="C3:D3"/>
    <mergeCell ref="B22:D22"/>
    <mergeCell ref="B41:D41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